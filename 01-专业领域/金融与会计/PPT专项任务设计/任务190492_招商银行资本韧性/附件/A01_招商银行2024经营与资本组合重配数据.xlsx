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a525fa2a9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与口径" sheetId="1" r:id="R4368663073f5435e"/>
    <x:sheet xmlns:r="http://schemas.openxmlformats.org/officeDocument/2006/relationships" name="01_盈利质量" sheetId="2" r:id="Rc9074e5f6cf949e2"/>
    <x:sheet xmlns:r="http://schemas.openxmlformats.org/officeDocument/2006/relationships" name="02_息差量价" sheetId="3" r:id="R199545062ac34e82"/>
    <x:sheet xmlns:r="http://schemas.openxmlformats.org/officeDocument/2006/relationships" name="03_五级分类" sheetId="4" r:id="Reb5378f2d7764856"/>
    <x:sheet xmlns:r="http://schemas.openxmlformats.org/officeDocument/2006/relationships" name="04_产品风险" sheetId="5" r:id="R86d949919204497b"/>
    <x:sheet xmlns:r="http://schemas.openxmlformats.org/officeDocument/2006/relationships" name="05_Stage与拨备" sheetId="6" r:id="R1d1b5c8e6d7f408f"/>
    <x:sheet xmlns:r="http://schemas.openxmlformats.org/officeDocument/2006/relationships" name="06_资本充足率" sheetId="7" r:id="Rc14ae74755ca4986"/>
    <x:sheet xmlns:r="http://schemas.openxmlformats.org/officeDocument/2006/relationships" name="07_压力测试假设" sheetId="8" r:id="R59ca3265362c43ab"/>
    <x:sheet xmlns:r="http://schemas.openxmlformats.org/officeDocument/2006/relationships" name="08_组合筛选" sheetId="9" r:id="R81a73e58172744b7"/>
    <x:sheet xmlns:r="http://schemas.openxmlformats.org/officeDocument/2006/relationships" name="09_来源索引" sheetId="10" r:id="R49c94b9d726c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[Red]-#,##0.00"/>
    <x:numFmt numFmtId="201" formatCode="0.00%;[Red]-0.00%"/>
    <x:numFmt numFmtId="202" formatCode="0.00%"/>
    <x:numFmt numFmtId="203" formatCode="0&quot;bp&quot;;[Red]-0&quot;bp&quot;"/>
    <x:numFmt numFmtId="204" formatCode="#,##0"/>
    <x:numFmt numFmtId="205" formatCode="#,##0;[Red]-#,##0"/>
    <x:numFmt numFmtId="206" formatCode="#,##0.00"/>
    <x:numFmt numFmtId="207" formatCode="0.00"/>
  </x:numFmts>
  <x:fonts count="8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15324A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43444"/>
      <x:name val="Microsoft YaHei"/>
    </x:font>
    <x:font>
      <x:i/>
      <x:sz val="8"/>
      <x:color rgb="FF556575"/>
      <x:name val="Microsoft YaHei"/>
    </x:font>
    <x:font>
      <x:sz val="11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AF2F7"/>
      </x:patternFill>
    </x:fill>
    <x:fill>
      <x:patternFill patternType="solid">
        <x:fgColor rgb="FF2B6F9F"/>
      </x:patternFill>
    </x:fill>
    <x:fill>
      <x:patternFill patternType="solid">
        <x:fgColor rgb="FFE7F4EE"/>
      </x:patternFill>
    </x:fill>
    <x:fill>
      <x:patternFill patternType="solid">
        <x:fgColor rgb="FFFFF2E3"/>
      </x:patternFill>
    </x:fill>
    <x:fill>
      <x:patternFill patternType="solid">
        <x:fgColor rgb="FFFCE8E6"/>
      </x:patternFill>
    </x:fill>
    <x:fill>
      <x:patternFill patternType="solid">
        <x:fgColor rgb="FFF3F5F7"/>
      </x:patternFill>
    </x:fill>
    <x:fill>
      <x:patternFill patternType="solid">
        <x:fgColor rgb="FF0C7C86"/>
      </x:patternFill>
    </x:fill>
    <x:fill>
      <x:patternFill patternType="solid">
        <x:fgColor rgb="FFD47A2C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CE2"/>
      </x:left>
      <x:right style="thin">
        <x:color rgb="FFD5DCE2"/>
      </x:right>
      <x:top style="thin">
        <x:color rgb="FFD5DCE2"/>
      </x:top>
      <x:bottom style="thin">
        <x:color rgb="FFD5DCE2"/>
      </x:bottom>
    </x:border>
    <x:border>
      <x:left style="thin">
        <x:color rgb="FFD5DCE2"/>
      </x:left>
      <x:top style="thin">
        <x:color rgb="FFD5DCE2"/>
      </x:top>
    </x:border>
    <x:border>
      <x:top style="thin">
        <x:color rgb="FFD5DCE2"/>
      </x:top>
    </x:border>
    <x:border>
      <x:right style="thin">
        <x:color rgb="FFD5DCE2"/>
      </x:right>
      <x:top style="thin">
        <x:color rgb="FFD5DCE2"/>
      </x:top>
    </x:border>
    <x:border>
      <x:left style="thin">
        <x:color rgb="FFD5DCE2"/>
      </x:left>
    </x:border>
    <x:border>
      <x:right style="thin">
        <x:color rgb="FFD5DCE2"/>
      </x:right>
    </x:border>
    <x:border>
      <x:left style="thin">
        <x:color rgb="FFD5DCE2"/>
      </x:left>
      <x:bottom style="thin">
        <x:color rgb="FFD5DCE2"/>
      </x:bottom>
    </x:border>
    <x:border>
      <x:bottom style="thin">
        <x:color rgb="FFD5DCE2"/>
      </x:bottom>
    </x:border>
    <x:border>
      <x:right style="thin">
        <x:color rgb="FFD5DCE2"/>
      </x:right>
      <x:bottom style="thin">
        <x:color rgb="FFD5DCE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0" fontId="5" fillId="0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5" fillId="3" borderId="2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3" fontId="5" fillId="0" borderId="2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 wrapText="1"/>
    </x:xf>
    <x:xf numFmtId="202" fontId="5" fillId="3" borderId="2" xfId="0" applyNumberFormat="1" applyFont="1" applyFill="1" applyBorder="1" applyAlignment="1">
      <x:alignment vertical="center" wrapText="1"/>
    </x:xf>
    <x:xf numFmtId="203" fontId="5" fillId="3" borderId="2" xfId="0" applyNumberFormat="1" applyFont="1" applyFill="1" applyBorder="1" applyAlignment="1">
      <x:alignment vertical="center" wrapText="1"/>
    </x:xf>
    <x:xf numFmtId="204" fontId="5" fillId="3" borderId="2" xfId="0" applyNumberFormat="1" applyFont="1" applyFill="1" applyBorder="1" applyAlignment="1">
      <x:alignment vertical="center" wrapText="1"/>
    </x:xf>
    <x:xf numFmtId="205" fontId="5" fillId="0" borderId="2" xfId="0" applyNumberFormat="1" applyFont="1" applyFill="1" applyBorder="1" applyAlignment="1">
      <x:alignment vertical="center" wrapText="1"/>
    </x:xf>
    <x:xf numFmtId="205" fontId="5" fillId="5" borderId="2" xfId="0" applyNumberFormat="1" applyFont="1" applyFill="1" applyBorder="1" applyAlignment="1">
      <x:alignment vertical="center" wrapText="1"/>
    </x:xf>
    <x:xf numFmtId="205" fontId="5" fillId="8" borderId="2" xfId="0" applyNumberFormat="1" applyFont="1" applyFill="1" applyBorder="1" applyAlignment="1">
      <x:alignment vertical="center" wrapText="1"/>
    </x:xf>
    <x:xf numFmtId="204" fontId="5" fillId="7" borderId="2" xfId="0" applyNumberFormat="1" applyFont="1" applyFill="1" applyBorder="1" applyAlignment="1">
      <x:alignment vertical="center" wrapText="1"/>
    </x:xf>
    <x:xf numFmtId="202" fontId="5" fillId="7" borderId="2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  <x:xf numFmtId="203" fontId="5" fillId="5" borderId="2" xfId="0" applyNumberFormat="1" applyFont="1" applyFill="1" applyBorder="1" applyAlignment="1">
      <x:alignment vertical="center" wrapText="1"/>
    </x:xf>
    <x:xf numFmtId="205" fontId="5" fillId="3" borderId="2" xfId="0" applyNumberFormat="1" applyFont="1" applyFill="1" applyBorder="1" applyAlignment="1">
      <x:alignment vertical="center" wrapText="1"/>
    </x:xf>
    <x:xf numFmtId="206" fontId="5" fillId="0" borderId="2" xfId="0" applyNumberFormat="1" applyFont="1" applyFill="1" applyBorder="1" applyAlignment="1">
      <x:alignment vertical="center" wrapText="1"/>
    </x:xf>
    <x:xf numFmtId="202" fontId="5" fillId="6" borderId="2" xfId="0" applyNumberFormat="1" applyFont="1" applyFill="1" applyBorder="1" applyAlignment="1">
      <x:alignment vertical="center" wrapText="1"/>
    </x:xf>
    <x:xf numFmtId="206" fontId="5" fillId="5" borderId="2" xfId="0" applyNumberFormat="1" applyFont="1" applyFill="1" applyBorder="1" applyAlignment="1">
      <x:alignment vertical="center" wrapText="1"/>
    </x:xf>
    <x:xf numFmtId="207" fontId="5" fillId="6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horizontal="left" wrapText="1"/>
    </x:xf>
    <x:xf numFmtId="0" fontId="5" fillId="5" borderId="4" xfId="0" applyNumberFormat="1" applyFont="1" applyFill="1" applyBorder="1" applyAlignment="1">
      <x:alignment horizontal="left" wrapText="1"/>
    </x:xf>
    <x:xf numFmtId="0" fontId="5" fillId="5" borderId="5" xfId="0" applyNumberFormat="1" applyFont="1" applyFill="1" applyBorder="1" applyAlignment="1">
      <x:alignment horizontal="left" wrapText="1"/>
    </x:xf>
    <x:xf numFmtId="0" fontId="5" fillId="5" borderId="6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left" wrapText="1"/>
    </x:xf>
    <x:xf numFmtId="0" fontId="5" fillId="5" borderId="7" xfId="0" applyNumberFormat="1" applyFont="1" applyFill="1" applyBorder="1" applyAlignment="1">
      <x:alignment horizontal="left" wrapText="1"/>
    </x:xf>
    <x:xf numFmtId="0" fontId="5" fillId="5" borderId="8" xfId="0" applyNumberFormat="1" applyFont="1" applyFill="1" applyBorder="1" applyAlignment="1">
      <x:alignment horizontal="left" wrapText="1"/>
    </x:xf>
    <x:xf numFmtId="0" fontId="5" fillId="5" borderId="9" xfId="0" applyNumberFormat="1" applyFont="1" applyFill="1" applyBorder="1" applyAlignment="1">
      <x:alignment horizontal="left" wrapText="1"/>
    </x:xf>
    <x:xf numFmtId="0" fontId="5" fillId="5" borderId="10" xfId="0" applyNumberFormat="1" applyFont="1" applyFill="1" applyBorder="1" applyAlignment="1">
      <x:alignment horizontal="left" wrapText="1"/>
    </x:xf>
    <x:xf numFmtId="0" fontId="5" fillId="5" borderId="3" xfId="0" applyNumberFormat="1" applyFont="1" applyFill="1" applyBorder="1" applyAlignment="1">
      <x:alignment horizontal="left" vertical="center" wrapText="1"/>
    </x:xf>
    <x:xf numFmtId="0" fontId="5" fillId="5" borderId="4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5" fillId="5" borderId="6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5" borderId="7" xfId="0" applyNumberFormat="1" applyFont="1" applyFill="1" applyBorder="1" applyAlignment="1">
      <x:alignment horizontal="left" vertical="center" wrapText="1"/>
    </x:xf>
    <x:xf numFmtId="0" fontId="5" fillId="5" borderId="8" xfId="0" applyNumberFormat="1" applyFont="1" applyFill="1" applyBorder="1" applyAlignment="1">
      <x:alignment horizontal="left" vertical="center" wrapText="1"/>
    </x:xf>
    <x:xf numFmtId="0" fontId="5" fillId="5" borderId="9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39400a93b442f" /><Relationship Type="http://schemas.openxmlformats.org/officeDocument/2006/relationships/theme" Target="/xl/theme/theme1.xml" Id="Racf67bd09052415c" /><Relationship Type="http://schemas.openxmlformats.org/officeDocument/2006/relationships/sharedStrings" Target="/xl/sharedStrings.xml" Id="R41d00f4b4fb74f72" /><Relationship Type="http://schemas.openxmlformats.org/officeDocument/2006/relationships/worksheet" Target="/xl/worksheets/sheet1.xml" Id="R4368663073f5435e" /><Relationship Type="http://schemas.openxmlformats.org/officeDocument/2006/relationships/worksheet" Target="/xl/worksheets/sheet2.xml" Id="Rc9074e5f6cf949e2" /><Relationship Type="http://schemas.openxmlformats.org/officeDocument/2006/relationships/worksheet" Target="/xl/worksheets/sheet3.xml" Id="R199545062ac34e82" /><Relationship Type="http://schemas.openxmlformats.org/officeDocument/2006/relationships/worksheet" Target="/xl/worksheets/sheet4.xml" Id="Reb5378f2d7764856" /><Relationship Type="http://schemas.openxmlformats.org/officeDocument/2006/relationships/worksheet" Target="/xl/worksheets/sheet5.xml" Id="R86d949919204497b" /><Relationship Type="http://schemas.openxmlformats.org/officeDocument/2006/relationships/worksheet" Target="/xl/worksheets/sheet6.xml" Id="R1d1b5c8e6d7f408f" /><Relationship Type="http://schemas.openxmlformats.org/officeDocument/2006/relationships/worksheet" Target="/xl/worksheets/sheet7.xml" Id="Rc14ae74755ca4986" /><Relationship Type="http://schemas.openxmlformats.org/officeDocument/2006/relationships/worksheet" Target="/xl/worksheets/sheet8.xml" Id="R59ca3265362c43ab" /><Relationship Type="http://schemas.openxmlformats.org/officeDocument/2006/relationships/worksheet" Target="/xl/worksheets/sheet9.xml" Id="R81a73e58172744b7" /><Relationship Type="http://schemas.openxmlformats.org/officeDocument/2006/relationships/worksheet" Target="/xl/worksheets/sheet10.xml" Id="R49c94b9d726c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4" hidden="0" customWidth="1"/>
    <x:col min="4" max="4" width="18" hidden="0" customWidth="1"/>
    <x:col min="5" max="5" width="18" hidden="0" customWidth="1"/>
    <x:col min="6" max="6" width="14" hidden="0" customWidth="1"/>
    <x:col min="7" max="7" width="24" hidden="0" customWidth="1"/>
    <x:col min="8" max="8" width="22" hidden="0" customWidth="1"/>
  </x:cols>
  <x:sheetData>
    <x:row r="1" ht="34" customHeight="1">
      <x:c r="A1" s="4" t="str">
        <x:v>招商银行 2024 经营与资本压力测试｜数据附件</x:v>
      </x:c>
      <x:c r="B1" s="4" t="str">
        <x:v>招商银行 2024 经营与资本压力测试｜数据附件</x:v>
      </x:c>
      <x:c r="C1" s="4" t="str">
        <x:v>招商银行 2024 经营与资本压力测试｜数据附件</x:v>
      </x:c>
      <x:c r="D1" s="4" t="str">
        <x:v>招商银行 2024 经营与资本压力测试｜数据附件</x:v>
      </x:c>
      <x:c r="E1" s="4" t="str">
        <x:v>招商银行 2024 经营与资本压力测试｜数据附件</x:v>
      </x:c>
      <x:c r="F1" s="4" t="str">
        <x:v>招商银行 2024 经营与资本压力测试｜数据附件</x:v>
      </x:c>
      <x:c r="G1" s="4" t="str">
        <x:v>招商银行 2024 经营与资本压力测试｜数据附件</x:v>
      </x:c>
      <x:c r="H1" s="4" t="str">
        <x:v>招商银行 2024 经营与资本压力测试｜数据附件</x:v>
      </x:c>
    </x:row>
    <x:row r="2" ht="24" customHeight="1">
      <x:c r="A2" s="7" t="str">
        <x:v>用途：资产负债管理委员会专题分析｜事实口径：集团合并｜压力测试：静态、案例假设</x:v>
      </x:c>
      <x:c r="B2" s="7" t="str">
        <x:v>用途：资产负债管理委员会专题分析｜事实口径：集团合并｜压力测试：静态、案例假设</x:v>
      </x:c>
      <x:c r="C2" s="7" t="str">
        <x:v>用途：资产负债管理委员会专题分析｜事实口径：集团合并｜压力测试：静态、案例假设</x:v>
      </x:c>
      <x:c r="D2" s="7" t="str">
        <x:v>用途：资产负债管理委员会专题分析｜事实口径：集团合并｜压力测试：静态、案例假设</x:v>
      </x:c>
      <x:c r="E2" s="7" t="str">
        <x:v>用途：资产负债管理委员会专题分析｜事实口径：集团合并｜压力测试：静态、案例假设</x:v>
      </x:c>
      <x:c r="F2" s="7" t="str">
        <x:v>用途：资产负债管理委员会专题分析｜事实口径：集团合并｜压力测试：静态、案例假设</x:v>
      </x:c>
      <x:c r="G2" s="7" t="str">
        <x:v>用途：资产负债管理委员会专题分析｜事实口径：集团合并｜压力测试：静态、案例假设</x:v>
      </x:c>
      <x:c r="H2" s="7" t="str">
        <x:v>用途：资产负债管理委员会专题分析｜事实口径：集团合并｜压力测试：静态、案例假设</x:v>
      </x:c>
    </x:row>
    <x:row r="3">
      <x:c r="A3" s="31"/>
      <x:c r="B3" s="31"/>
      <x:c r="C3" s="31"/>
      <x:c r="D3" s="31"/>
      <x:c r="E3" s="31"/>
      <x:c r="F3" s="31"/>
      <x:c r="G3" s="31"/>
      <x:c r="H3" s="31"/>
    </x:row>
    <x:row r="4" ht="24" customHeight="1">
      <x:c r="A4" s="10" t="str">
        <x:v>1｜事实、假设与使用边界</x:v>
      </x:c>
      <x:c r="B4" s="10" t="str">
        <x:v>1｜事实、假设与使用边界</x:v>
      </x:c>
      <x:c r="C4" s="10" t="str">
        <x:v>1｜事实、假设与使用边界</x:v>
      </x:c>
      <x:c r="D4" s="10" t="str">
        <x:v>1｜事实、假设与使用边界</x:v>
      </x:c>
      <x:c r="E4" s="10" t="str">
        <x:v>1｜事实、假设与使用边界</x:v>
      </x:c>
      <x:c r="F4" s="10" t="str">
        <x:v>1｜事实、假设与使用边界</x:v>
      </x:c>
      <x:c r="G4" s="10" t="str">
        <x:v>1｜事实、假设与使用边界</x:v>
      </x:c>
      <x:c r="H4" s="10" t="str">
        <x:v>1｜事实、假设与使用边界</x:v>
      </x:c>
    </x:row>
    <x:row r="5" ht="28" customHeight="1">
      <x:c r="A5" s="15" t="str">
        <x:v>类别</x:v>
      </x:c>
      <x:c r="B5" s="15" t="str">
        <x:v>说明</x:v>
      </x:c>
      <x:c r="C5" s="15" t="str">
        <x:v>单位</x:v>
      </x:c>
      <x:c r="D5" s="15" t="str">
        <x:v>计算精度</x:v>
      </x:c>
      <x:c r="E5" s="15" t="str">
        <x:v>展示精度</x:v>
      </x:c>
      <x:c r="F5" s="15" t="str">
        <x:v>允许来源</x:v>
      </x:c>
      <x:c r="G5" s="15" t="str">
        <x:v>禁止事项</x:v>
      </x:c>
      <x:c r="H5" s="15" t="str">
        <x:v>标识</x:v>
      </x:c>
    </x:row>
    <x:row r="6">
      <x:c r="A6" s="20" t="str">
        <x:v>年报事实</x:v>
      </x:c>
      <x:c r="B6" s="20" t="str">
        <x:v>招商银行2024年度报告公开披露值，除特别说明外为集团口径</x:v>
      </x:c>
      <x:c r="C6" s="20" t="str">
        <x:v>人民币百万元</x:v>
      </x:c>
      <x:c r="D6" s="20" t="str">
        <x:v>使用原始整数</x:v>
      </x:c>
      <x:c r="E6" s="20" t="str">
        <x:v>金额：亿元2位；比率：2位；变动：整数bp</x:v>
      </x:c>
      <x:c r="F6" s="20" t="str">
        <x:v>香港交易所、招商银行IR</x:v>
      </x:c>
      <x:c r="G6" s="20" t="str">
        <x:v>不得用已四舍五入比率反推余额</x:v>
      </x:c>
      <x:c r="H6" s="20" t="str">
        <x:v>蓝色</x:v>
      </x:c>
    </x:row>
    <x:row r="7">
      <x:c r="A7" s="21" t="str">
        <x:v>分析派生</x:v>
      </x:c>
      <x:c r="B7" s="21" t="str">
        <x:v>按附件公式由年报事实计算的分析口径，不代表银行披露指标</x:v>
      </x:c>
      <x:c r="C7" s="21" t="str">
        <x:v>见各表</x:v>
      </x:c>
      <x:c r="D7" s="21" t="str">
        <x:v>使用未舍入原始值</x:v>
      </x:c>
      <x:c r="E7" s="21" t="str">
        <x:v>最终展示后舍入</x:v>
      </x:c>
      <x:c r="F7" s="21" t="str">
        <x:v>附件内公式</x:v>
      </x:c>
      <x:c r="G7" s="21" t="str">
        <x:v>不得把分析派生写成年报原文</x:v>
      </x:c>
      <x:c r="H7" s="21" t="str">
        <x:v>绿色</x:v>
      </x:c>
    </x:row>
    <x:row r="8">
      <x:c r="A8" s="22" t="str">
        <x:v>案例假设</x:v>
      </x:c>
      <x:c r="B8" s="22" t="str">
        <x:v>2025贷款增长计划、压力参数、税盾和管理底线，仅用于本案例</x:v>
      </x:c>
      <x:c r="C8" s="22" t="str">
        <x:v>见假设表</x:v>
      </x:c>
      <x:c r="D8" s="22" t="str">
        <x:v>按给定参数</x:v>
      </x:c>
      <x:c r="E8" s="22" t="str">
        <x:v>比率2位/bp整数</x:v>
      </x:c>
      <x:c r="F8" s="22" t="str">
        <x:v>07_压力测试假设、A02 PDF</x:v>
      </x:c>
      <x:c r="G8" s="22" t="str">
        <x:v>不得表述为银行指引或监管要求</x:v>
      </x:c>
      <x:c r="H8" s="22" t="str">
        <x:v>橙色</x:v>
      </x:c>
    </x:row>
    <x:row r="9">
      <x:c r="A9" s="23" t="str">
        <x:v>资本口径</x:v>
      </x:c>
      <x:c r="B9" s="23" t="str">
        <x:v>压力测试只使用2024年加权法CET1资本和RWA；高级法14.86%是口径干扰项</x:v>
      </x:c>
      <x:c r="C9" s="23" t="str">
        <x:v>人民币百万元/%</x:v>
      </x:c>
      <x:c r="D9" s="23" t="str">
        <x:v>按2024单点</x:v>
      </x:c>
      <x:c r="E9" s="23" t="str">
        <x:v>比率2位</x:v>
      </x:c>
      <x:c r="F9" s="23" t="str">
        <x:v>年报p39–40</x:v>
      </x:c>
      <x:c r="G9" s="23" t="str">
        <x:v>不得将高级法CET1代入压力测试</x:v>
      </x:c>
      <x:c r="H9" s="23" t="str">
        <x:v>红色提示</x:v>
      </x:c>
    </x:row>
    <x:row r="10">
      <x:c r="A10" s="24" t="str">
        <x:v>联网边界</x:v>
      </x:c>
      <x:c r="B10" s="24" t="str">
        <x:v>模型作答仅使用A01工作簿与A02规则PDF，答案无需联网</x:v>
      </x:c>
      <x:c r="C10" s="24" t="str">
        <x:v>—</x:v>
      </x:c>
      <x:c r="D10" s="24" t="str">
        <x:v>—</x:v>
      </x:c>
      <x:c r="E10" s="24" t="str">
        <x:v>—</x:v>
      </x:c>
      <x:c r="F10" s="24" t="str">
        <x:v>附件闭环</x:v>
      </x:c>
      <x:c r="G10" s="24" t="str">
        <x:v>不得补充附件外数字或动作</x:v>
      </x:c>
      <x:c r="H10" s="24" t="str">
        <x:v>灰色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 ht="24" customHeight="1">
      <x:c r="A12" s="27" t="str">
        <x:v>2｜统一公式与舍入规则</x:v>
      </x:c>
      <x:c r="B12" s="27" t="str">
        <x:v>2｜统一公式与舍入规则</x:v>
      </x:c>
      <x:c r="C12" s="27" t="str">
        <x:v>2｜统一公式与舍入规则</x:v>
      </x:c>
      <x:c r="D12" s="27" t="str">
        <x:v>2｜统一公式与舍入规则</x:v>
      </x:c>
      <x:c r="E12" s="27" t="str">
        <x:v>2｜统一公式与舍入规则</x:v>
      </x:c>
      <x:c r="F12" s="27" t="str">
        <x:v>2｜统一公式与舍入规则</x:v>
      </x:c>
      <x:c r="G12" s="27" t="str">
        <x:v>2｜统一公式与舍入规则</x:v>
      </x:c>
      <x:c r="H12" s="27" t="str">
        <x:v>2｜统一公式与舍入规则</x:v>
      </x:c>
    </x:row>
    <x:row r="13" ht="28" customHeight="1">
      <x:c r="A13" s="15" t="str">
        <x:v>编号</x:v>
      </x:c>
      <x:c r="B13" s="15" t="str">
        <x:v>指标</x:v>
      </x:c>
      <x:c r="C13" s="15" t="str">
        <x:v>公式</x:v>
      </x:c>
      <x:c r="D13" s="15" t="str">
        <x:v>分子</x:v>
      </x:c>
      <x:c r="E13" s="15" t="str">
        <x:v>分母</x:v>
      </x:c>
      <x:c r="F13" s="15" t="str">
        <x:v>单位</x:v>
      </x:c>
      <x:c r="G13" s="15" t="str">
        <x:v>展示</x:v>
      </x:c>
      <x:c r="H13" s="15" t="str">
        <x:v>备注</x:v>
      </x:c>
    </x:row>
    <x:row r="14">
      <x:c r="A14" s="19" t="str">
        <x:v>F01</x:v>
      </x:c>
      <x:c r="B14" s="19" t="str">
        <x:v>核心经常性收入</x:v>
      </x:c>
      <x:c r="C14" s="19" t="str">
        <x:v>净利息收入 + 净手续费及佣金收入</x:v>
      </x:c>
      <x:c r="D14" s="19" t="str">
        <x:v>两项年报事实</x:v>
      </x:c>
      <x:c r="E14" s="19" t="str">
        <x:v>—</x:v>
      </x:c>
      <x:c r="F14" s="19" t="str">
        <x:v>百万元</x:v>
      </x:c>
      <x:c r="G14" s="19" t="str">
        <x:v>亿元2位</x:v>
      </x:c>
      <x:c r="H14" s="19" t="str">
        <x:v>分析派生</x:v>
      </x:c>
    </x:row>
    <x:row r="15">
      <x:c r="A15" s="19" t="str">
        <x:v>F02</x:v>
      </x:c>
      <x:c r="B15" s="19" t="str">
        <x:v>其他净非息占比</x:v>
      </x:c>
      <x:c r="C15" s="19" t="str">
        <x:v>其他净非息收入 / 营业净收入</x:v>
      </x:c>
      <x:c r="D15" s="19" t="str">
        <x:v>其他净非息</x:v>
      </x:c>
      <x:c r="E15" s="19" t="str">
        <x:v>营业净收入</x:v>
      </x:c>
      <x:c r="F15" s="19" t="str">
        <x:v>%</x:v>
      </x:c>
      <x:c r="G15" s="19" t="str">
        <x:v>2位</x:v>
      </x:c>
      <x:c r="H15" s="19" t="str">
        <x:v>变化用pp</x:v>
      </x:c>
    </x:row>
    <x:row r="16">
      <x:c r="A16" s="19" t="str">
        <x:v>F03</x:v>
      </x:c>
      <x:c r="B16" s="19" t="str">
        <x:v>简化拨备前利润</x:v>
      </x:c>
      <x:c r="C16" s="19" t="str">
        <x:v>营业净收入 - 营业费用</x:v>
      </x:c>
      <x:c r="D16" s="19" t="str">
        <x:v>营业净收入</x:v>
      </x:c>
      <x:c r="E16" s="19" t="str">
        <x:v>—</x:v>
      </x:c>
      <x:c r="F16" s="19" t="str">
        <x:v>百万元</x:v>
      </x:c>
      <x:c r="G16" s="19" t="str">
        <x:v>亿元2位</x:v>
      </x:c>
      <x:c r="H16" s="19" t="str">
        <x:v>分析派生</x:v>
      </x:c>
    </x:row>
    <x:row r="17">
      <x:c r="A17" s="19" t="str">
        <x:v>F04</x:v>
      </x:c>
      <x:c r="B17" s="19" t="str">
        <x:v>Stage 2+3占比</x:v>
      </x:c>
      <x:c r="C17" s="19" t="str">
        <x:v>(Stage 2余额 + Stage 3余额) / 摊余成本贷款合计</x:v>
      </x:c>
      <x:c r="D17" s="19" t="str">
        <x:v>Stage 2+3</x:v>
      </x:c>
      <x:c r="E17" s="19" t="str">
        <x:v>摊余成本贷款</x:v>
      </x:c>
      <x:c r="F17" s="19" t="str">
        <x:v>%</x:v>
      </x:c>
      <x:c r="G17" s="19" t="str">
        <x:v>2位</x:v>
      </x:c>
      <x:c r="H17" s="19" t="str">
        <x:v>变化用bp</x:v>
      </x:c>
    </x:row>
    <x:row r="18">
      <x:c r="A18" s="19" t="str">
        <x:v>F05</x:v>
      </x:c>
      <x:c r="B18" s="19" t="str">
        <x:v>税后资本损失</x:v>
      </x:c>
      <x:c r="C18" s="19" t="str">
        <x:v>(NIM损失 + 新增拨备) × (1-税盾)</x:v>
      </x:c>
      <x:c r="D18" s="19" t="str">
        <x:v>压力损失</x:v>
      </x:c>
      <x:c r="E18" s="19" t="str">
        <x:v>—</x:v>
      </x:c>
      <x:c r="F18" s="19" t="str">
        <x:v>百万元</x:v>
      </x:c>
      <x:c r="G18" s="19" t="str">
        <x:v>亿元2位</x:v>
      </x:c>
      <x:c r="H18" s="19" t="str">
        <x:v>案例计算</x:v>
      </x:c>
    </x:row>
    <x:row r="19">
      <x:c r="A19" s="19" t="str">
        <x:v>F06</x:v>
      </x:c>
      <x:c r="B19" s="19" t="str">
        <x:v>压力后CET1率</x:v>
      </x:c>
      <x:c r="C19" s="19" t="str">
        <x:v>压力后CET1资本 / 压力后RWA</x:v>
      </x:c>
      <x:c r="D19" s="19" t="str">
        <x:v>CET1资本</x:v>
      </x:c>
      <x:c r="E19" s="19" t="str">
        <x:v>RWA</x:v>
      </x:c>
      <x:c r="F19" s="19" t="str">
        <x:v>%</x:v>
      </x:c>
      <x:c r="G19" s="19" t="str">
        <x:v>2位</x:v>
      </x:c>
      <x:c r="H19" s="19" t="str">
        <x:v>只用加权法</x:v>
      </x:c>
    </x:row>
    <x:row r="20">
      <x:c r="A20" s="19" t="str">
        <x:v>F07</x:v>
      </x:c>
      <x:c r="B20" s="19" t="str">
        <x:v>最大可承受贷款增速</x:v>
      </x:c>
      <x:c r="C20" s="19" t="str">
        <x:v>[(压力后CET1/底线)-基准RWA-新增不良×150%] / (总贷款×65%)</x:v>
      </x:c>
      <x:c r="D20" s="19" t="str">
        <x:v>可用RWA空间</x:v>
      </x:c>
      <x:c r="E20" s="19" t="str">
        <x:v>总贷款×RWA密度</x:v>
      </x:c>
      <x:c r="F20" s="19" t="str">
        <x:v>%</x:v>
      </x:c>
      <x:c r="G20" s="19" t="str">
        <x:v>2位</x:v>
      </x:c>
      <x:c r="H20" s="19" t="str">
        <x:v>可为负</x:v>
      </x:c>
    </x:row>
    <x:row r="21">
      <x:c r="A21" s="19" t="str">
        <x:v>F08</x:v>
      </x:c>
      <x:c r="B21" s="19" t="str">
        <x:v>舍入</x:v>
      </x:c>
      <x:c r="C21" s="19" t="str">
        <x:v>所有计算使用未舍入值，仅最终显示舍入</x:v>
      </x:c>
      <x:c r="D21" s="19" t="str">
        <x:v>—</x:v>
      </x:c>
      <x:c r="E21" s="19" t="str">
        <x:v>—</x:v>
      </x:c>
      <x:c r="F21" s="19" t="str">
        <x:v>—</x:v>
      </x:c>
      <x:c r="G21" s="19" t="str">
        <x:v>金额亿元2位；比率2位；bp整数</x:v>
      </x:c>
      <x:c r="H21" s="19" t="str">
        <x:v>评分容差：金额±0.01亿元、比率±0.01pp、变动±1bp</x:v>
      </x:c>
    </x:row>
    <x:row r="22">
      <x:c r="A22" s="31"/>
      <x:c r="B22" s="31"/>
      <x:c r="C22" s="31"/>
      <x:c r="D22" s="31"/>
      <x:c r="E22" s="31"/>
      <x:c r="F22" s="31"/>
      <x:c r="G22" s="31"/>
      <x:c r="H22" s="31"/>
    </x:row>
    <x:row r="23" ht="30" customHeight="1">
      <x:c r="A23" s="30" t="str">
        <x:v>公开来源：招商银行2024年度报告（HKEX英文H股版）；详细URL与页码见“09_来源索引”。案例假设不代表招商银行观点、指引或监管要求。</x:v>
      </x:c>
      <x:c r="B23" s="30" t="str">
        <x:v>公开来源：招商银行2024年度报告（HKEX英文H股版）；详细URL与页码见“09_来源索引”。案例假设不代表招商银行观点、指引或监管要求。</x:v>
      </x:c>
      <x:c r="C23" s="30" t="str">
        <x:v>公开来源：招商银行2024年度报告（HKEX英文H股版）；详细URL与页码见“09_来源索引”。案例假设不代表招商银行观点、指引或监管要求。</x:v>
      </x:c>
      <x:c r="D23" s="30" t="str">
        <x:v>公开来源：招商银行2024年度报告（HKEX英文H股版）；详细URL与页码见“09_来源索引”。案例假设不代表招商银行观点、指引或监管要求。</x:v>
      </x:c>
      <x:c r="E23" s="30" t="str">
        <x:v>公开来源：招商银行2024年度报告（HKEX英文H股版）；详细URL与页码见“09_来源索引”。案例假设不代表招商银行观点、指引或监管要求。</x:v>
      </x:c>
      <x:c r="F23" s="30" t="str">
        <x:v>公开来源：招商银行2024年度报告（HKEX英文H股版）；详细URL与页码见“09_来源索引”。案例假设不代表招商银行观点、指引或监管要求。</x:v>
      </x:c>
      <x:c r="G23" s="30" t="str">
        <x:v>公开来源：招商银行2024年度报告（HKEX英文H股版）；详细URL与页码见“09_来源索引”。案例假设不代表招商银行观点、指引或监管要求。</x:v>
      </x:c>
      <x:c r="H23" s="30" t="str">
        <x:v>公开来源：招商银行2024年度报告（HKEX英文H股版）；详细URL与页码见“09_来源索引”。案例假设不代表招商银行观点、指引或监管要求。</x:v>
      </x:c>
    </x:row>
  </x:sheetData>
  <x:mergeCells>
    <x:mergeCell ref="A1:H1"/>
    <x:mergeCell ref="A2:H2"/>
    <x:mergeCell ref="A4:H4"/>
    <x:mergeCell ref="A12:H1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30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01｜盈利质量：利润增长不等于核心收入改善</x:v>
      </x:c>
      <x:c r="B1" s="4" t="str">
        <x:v>01｜盈利质量：利润增长不等于核心收入改善</x:v>
      </x:c>
      <x:c r="C1" s="4" t="str">
        <x:v>01｜盈利质量：利润增长不等于核心收入改善</x:v>
      </x:c>
      <x:c r="D1" s="4" t="str">
        <x:v>01｜盈利质量：利润增长不等于核心收入改善</x:v>
      </x:c>
      <x:c r="E1" s="4" t="str">
        <x:v>01｜盈利质量：利润增长不等于核心收入改善</x:v>
      </x:c>
      <x:c r="F1" s="4" t="str">
        <x:v>01｜盈利质量：利润增长不等于核心收入改善</x:v>
      </x:c>
      <x:c r="G1" s="4" t="str">
        <x:v>01｜盈利质量：利润增长不等于核心收入改善</x:v>
      </x:c>
      <x:c r="H1" s="4" t="str">
        <x:v>01｜盈利质量：利润增长不等于核心收入改善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15" t="str">
        <x:v>指标</x:v>
      </x:c>
      <x:c r="B3" s="15" t="str">
        <x:v>2023</x:v>
      </x:c>
      <x:c r="C3" s="15" t="str">
        <x:v>2024</x:v>
      </x:c>
      <x:c r="D3" s="15" t="str">
        <x:v>同比/变化</x:v>
      </x:c>
      <x:c r="E3" s="15" t="str">
        <x:v>单位</x:v>
      </x:c>
      <x:c r="F3" s="15" t="str">
        <x:v>口径/公式</x:v>
      </x:c>
      <x:c r="G3" s="15" t="str">
        <x:v>年报页码</x:v>
      </x:c>
      <x:c r="H3" s="15" t="str">
        <x:v>性质</x:v>
      </x:c>
    </x:row>
    <x:row r="4">
      <x:c r="A4" s="20" t="str">
        <x:v>营业净收入</x:v>
      </x:c>
      <x:c r="B4" s="34" t="n">
        <x:v>339078</x:v>
      </x:c>
      <x:c r="C4" s="34" t="n">
        <x:v>337121</x:v>
      </x:c>
      <x:c r="D4" s="35" t="n">
        <x:f>C4/B4-1</x:f>
        <x:v>-0.005771533393496453</x:v>
      </x:c>
      <x:c r="E4" s="20" t="str">
        <x:v>百万元</x:v>
      </x:c>
      <x:c r="F4" s="20" t="str">
        <x:v>年报披露</x:v>
      </x:c>
      <x:c r="G4" s="20" t="str">
        <x:v>p16/p20</x:v>
      </x:c>
      <x:c r="H4" s="20" t="str">
        <x:v>年报事实</x:v>
      </x:c>
    </x:row>
    <x:row r="5">
      <x:c r="A5" s="20" t="str">
        <x:v>净利息收入</x:v>
      </x:c>
      <x:c r="B5" s="34" t="n">
        <x:v>214669</x:v>
      </x:c>
      <x:c r="C5" s="34" t="n">
        <x:v>211277</x:v>
      </x:c>
      <x:c r="D5" s="35" t="n">
        <x:f>C5/B5-1</x:f>
        <x:v>-0.015801070485258695</x:v>
      </x:c>
      <x:c r="E5" s="20" t="str">
        <x:v>百万元</x:v>
      </x:c>
      <x:c r="F5" s="20" t="str">
        <x:v>年报披露</x:v>
      </x:c>
      <x:c r="G5" s="20" t="str">
        <x:v>p20</x:v>
      </x:c>
      <x:c r="H5" s="20" t="str">
        <x:v>年报事实</x:v>
      </x:c>
    </x:row>
    <x:row r="6">
      <x:c r="A6" s="20" t="str">
        <x:v>净手续费及佣金收入</x:v>
      </x:c>
      <x:c r="B6" s="34" t="n">
        <x:v>84108</x:v>
      </x:c>
      <x:c r="C6" s="34" t="n">
        <x:v>72094</x:v>
      </x:c>
      <x:c r="D6" s="35" t="n">
        <x:f>C6/B6-1</x:f>
        <x:v>-0.1428401578922338</x:v>
      </x:c>
      <x:c r="E6" s="20" t="str">
        <x:v>百万元</x:v>
      </x:c>
      <x:c r="F6" s="20" t="str">
        <x:v>年报披露</x:v>
      </x:c>
      <x:c r="G6" s="20" t="str">
        <x:v>p20/p25</x:v>
      </x:c>
      <x:c r="H6" s="20" t="str">
        <x:v>年报事实</x:v>
      </x:c>
    </x:row>
    <x:row r="7">
      <x:c r="A7" s="20" t="str">
        <x:v>其他净非息收入</x:v>
      </x:c>
      <x:c r="B7" s="34" t="n">
        <x:v>40301</x:v>
      </x:c>
      <x:c r="C7" s="34" t="n">
        <x:v>53750</x:v>
      </x:c>
      <x:c r="D7" s="35" t="n">
        <x:f>C7/B7-1</x:f>
        <x:v>0.33371380362770164</x:v>
      </x:c>
      <x:c r="E7" s="20" t="str">
        <x:v>百万元</x:v>
      </x:c>
      <x:c r="F7" s="20" t="str">
        <x:v>使三项收入与营业净收入勾稽</x:v>
      </x:c>
      <x:c r="G7" s="20" t="str">
        <x:v>p25</x:v>
      </x:c>
      <x:c r="H7" s="20" t="str">
        <x:v>年报事实</x:v>
      </x:c>
    </x:row>
    <x:row r="8">
      <x:c r="A8" s="20" t="str">
        <x:v>营业费用</x:v>
      </x:c>
      <x:c r="B8" s="34" t="n">
        <x:v>120991</x:v>
      </x:c>
      <x:c r="C8" s="34" t="n">
        <x:v>117650</x:v>
      </x:c>
      <x:c r="D8" s="35" t="n">
        <x:f>C8/B8-1</x:f>
        <x:v>-0.027613624153862704</x:v>
      </x:c>
      <x:c r="E8" s="20" t="str">
        <x:v>百万元</x:v>
      </x:c>
      <x:c r="F8" s="20" t="str">
        <x:v>年报披露</x:v>
      </x:c>
      <x:c r="G8" s="20" t="str">
        <x:v>p26</x:v>
      </x:c>
      <x:c r="H8" s="20" t="str">
        <x:v>年报事实</x:v>
      </x:c>
    </x:row>
    <x:row r="9">
      <x:c r="A9" s="20" t="str">
        <x:v>税前利润</x:v>
      </x:c>
      <x:c r="B9" s="34" t="n">
        <x:v>176618</x:v>
      </x:c>
      <x:c r="C9" s="34" t="n">
        <x:v>178652</x:v>
      </x:c>
      <x:c r="D9" s="35" t="n">
        <x:f>C9/B9-1</x:f>
        <x:v>0.011516379983920189</x:v>
      </x:c>
      <x:c r="E9" s="20" t="str">
        <x:v>百万元</x:v>
      </x:c>
      <x:c r="F9" s="20" t="str">
        <x:v>年报披露</x:v>
      </x:c>
      <x:c r="G9" s="20" t="str">
        <x:v>p16</x:v>
      </x:c>
      <x:c r="H9" s="20" t="str">
        <x:v>年报事实</x:v>
      </x:c>
    </x:row>
    <x:row r="10">
      <x:c r="A10" s="20" t="str">
        <x:v>归母净利润</x:v>
      </x:c>
      <x:c r="B10" s="34" t="n">
        <x:v>146602</x:v>
      </x:c>
      <x:c r="C10" s="34" t="n">
        <x:v>148391</x:v>
      </x:c>
      <x:c r="D10" s="35" t="n">
        <x:f>C10/B10-1</x:f>
        <x:v>0.01220310773386446</x:v>
      </x:c>
      <x:c r="E10" s="20" t="str">
        <x:v>百万元</x:v>
      </x:c>
      <x:c r="F10" s="20" t="str">
        <x:v>年报披露</x:v>
      </x:c>
      <x:c r="G10" s="20" t="str">
        <x:v>p16</x:v>
      </x:c>
      <x:c r="H10" s="20" t="str">
        <x:v>年报事实</x:v>
      </x:c>
    </x:row>
    <x:row r="11">
      <x:c r="A11" s="20" t="str">
        <x:v>客户贷款总额</x:v>
      </x:c>
      <x:c r="B11" s="34" t="n">
        <x:v>6508865</x:v>
      </x:c>
      <x:c r="C11" s="34" t="n">
        <x:v>6888315</x:v>
      </x:c>
      <x:c r="D11" s="35" t="n">
        <x:f>C11/B11-1</x:f>
        <x:v>0.05829741437255187</x:v>
      </x:c>
      <x:c r="E11" s="20" t="str">
        <x:v>百万元</x:v>
      </x:c>
      <x:c r="F11" s="20" t="str">
        <x:v>年报披露</x:v>
      </x:c>
      <x:c r="G11" s="20" t="str">
        <x:v>p16/p32</x:v>
      </x:c>
      <x:c r="H11" s="20" t="str">
        <x:v>年报事实</x:v>
      </x:c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4" ht="24" customHeight="1">
      <x:c r="A14" s="27" t="str">
        <x:v>分析派生（由上表未舍入数据计算）</x:v>
      </x:c>
      <x:c r="B14" s="27" t="str">
        <x:v>分析派生（由上表未舍入数据计算）</x:v>
      </x:c>
      <x:c r="C14" s="27" t="str">
        <x:v>分析派生（由上表未舍入数据计算）</x:v>
      </x:c>
      <x:c r="D14" s="27" t="str">
        <x:v>分析派生（由上表未舍入数据计算）</x:v>
      </x:c>
      <x:c r="E14" s="27" t="str">
        <x:v>分析派生（由上表未舍入数据计算）</x:v>
      </x:c>
      <x:c r="F14" s="27" t="str">
        <x:v>分析派生（由上表未舍入数据计算）</x:v>
      </x:c>
      <x:c r="G14" s="27" t="str">
        <x:v>分析派生（由上表未舍入数据计算）</x:v>
      </x:c>
      <x:c r="H14" s="27" t="str">
        <x:v>分析派生（由上表未舍入数据计算）</x:v>
      </x:c>
    </x:row>
    <x:row r="15" ht="28" customHeight="1">
      <x:c r="A15" s="15" t="str">
        <x:v>指标</x:v>
      </x:c>
      <x:c r="B15" s="15" t="str">
        <x:v>2023</x:v>
      </x:c>
      <x:c r="C15" s="15" t="str">
        <x:v>2024</x:v>
      </x:c>
      <x:c r="D15" s="15" t="str">
        <x:v>同比/变化</x:v>
      </x:c>
      <x:c r="E15" s="15" t="str">
        <x:v>单位</x:v>
      </x:c>
      <x:c r="F15" s="15" t="str">
        <x:v>公式</x:v>
      </x:c>
      <x:c r="G15" s="15" t="str">
        <x:v>判读</x:v>
      </x:c>
      <x:c r="H15" s="15" t="str">
        <x:v>性质</x:v>
      </x:c>
    </x:row>
    <x:row r="16">
      <x:c r="A16" s="21" t="str">
        <x:v>核心经常性收入</x:v>
      </x:c>
      <x:c r="B16" s="36" t="n">
        <x:f>B5+B6</x:f>
        <x:v>298777</x:v>
      </x:c>
      <x:c r="C16" s="36" t="n">
        <x:f>C5+C6</x:f>
        <x:v>283371</x:v>
      </x:c>
      <x:c r="D16" s="37" t="n">
        <x:f>C16/B16-1</x:f>
        <x:v>-0.05156354070092406</x:v>
      </x:c>
      <x:c r="E16" s="21" t="str">
        <x:v>百万元</x:v>
      </x:c>
      <x:c r="F16" s="21" t="str">
        <x:v>净利息收入+净手续费</x:v>
      </x:c>
      <x:c r="G16" s="21" t="str">
        <x:v>核心收入收缩</x:v>
      </x:c>
      <x:c r="H16" s="21" t="str">
        <x:v>分析派生</x:v>
      </x:c>
    </x:row>
    <x:row r="17">
      <x:c r="A17" s="21" t="str">
        <x:v>其他净非息占营业净收入</x:v>
      </x:c>
      <x:c r="B17" s="37" t="n">
        <x:f>B7/B4</x:f>
        <x:v>0.1188546588100673</x:v>
      </x:c>
      <x:c r="C17" s="37" t="n">
        <x:f>C7/C4</x:f>
        <x:v>0.15943830256792071</x:v>
      </x:c>
      <x:c r="D17" s="37" t="n">
        <x:f>C17-B17</x:f>
        <x:v>0.04058364375785341</x:v>
      </x:c>
      <x:c r="E17" s="21" t="str">
        <x:v>%</x:v>
      </x:c>
      <x:c r="F17" s="21" t="str">
        <x:v>其他净非息/营业净收入</x:v>
      </x:c>
      <x:c r="G17" s="21" t="str">
        <x:v>占比上升</x:v>
      </x:c>
      <x:c r="H17" s="21" t="str">
        <x:v>分析派生</x:v>
      </x:c>
    </x:row>
    <x:row r="18">
      <x:c r="A18" s="21" t="str">
        <x:v>简化拨备前利润</x:v>
      </x:c>
      <x:c r="B18" s="36" t="n">
        <x:f>B4-B8</x:f>
        <x:v>218087</x:v>
      </x:c>
      <x:c r="C18" s="36" t="n">
        <x:f>C4-C8</x:f>
        <x:v>219471</x:v>
      </x:c>
      <x:c r="D18" s="37" t="n">
        <x:f>C18/B18-1</x:f>
        <x:v>0.006346091238817575</x:v>
      </x:c>
      <x:c r="E18" s="21" t="str">
        <x:v>百万元</x:v>
      </x:c>
      <x:c r="F18" s="21" t="str">
        <x:v>营业净收入-营业费用</x:v>
      </x:c>
      <x:c r="G18" s="21" t="str">
        <x:v>小幅增长</x:v>
      </x:c>
      <x:c r="H18" s="21" t="str">
        <x:v>分析派生</x:v>
      </x:c>
    </x:row>
    <x:row r="19">
      <x:c r="A19" s="21" t="str">
        <x:v>归母净利润增速</x:v>
      </x:c>
      <x:c r="B19" s="36"/>
      <x:c r="C19" s="37" t="n">
        <x:f>C10/B10-1</x:f>
        <x:v>0.01220310773386446</x:v>
      </x:c>
      <x:c r="D19" s="37" t="n">
        <x:f>C19</x:f>
        <x:v>0.01220310773386446</x:v>
      </x:c>
      <x:c r="E19" s="21" t="str">
        <x:v>%</x:v>
      </x:c>
      <x:c r="F19" s="21" t="str">
        <x:v>2024/2023-1</x:v>
      </x:c>
      <x:c r="G19" s="21" t="str">
        <x:v>保持正增长</x:v>
      </x:c>
      <x:c r="H19" s="21" t="str">
        <x:v>分析派生</x:v>
      </x:c>
    </x:row>
    <x:row r="20">
      <x:c r="A20" s="31"/>
      <x:c r="B20" s="31"/>
      <x:c r="C20" s="31"/>
      <x:c r="D20" s="31"/>
      <x:c r="E20" s="31"/>
      <x:c r="F20" s="31"/>
      <x:c r="G20" s="31"/>
      <x:c r="H20" s="31"/>
    </x:row>
    <x:row r="21" ht="30" customHeight="1">
      <x:c r="A21" s="30" t="str">
        <x:v>来源：招商银行2024年度报告 p16、p20、p25、p26。金额为人民币百万元；PPT展示时除以100换算为亿元。</x:v>
      </x:c>
      <x:c r="B21" s="30" t="str">
        <x:v>来源：招商银行2024年度报告 p16、p20、p25、p26。金额为人民币百万元；PPT展示时除以100换算为亿元。</x:v>
      </x:c>
      <x:c r="C21" s="30" t="str">
        <x:v>来源：招商银行2024年度报告 p16、p20、p25、p26。金额为人民币百万元；PPT展示时除以100换算为亿元。</x:v>
      </x:c>
      <x:c r="D21" s="30" t="str">
        <x:v>来源：招商银行2024年度报告 p16、p20、p25、p26。金额为人民币百万元；PPT展示时除以100换算为亿元。</x:v>
      </x:c>
      <x:c r="E21" s="30" t="str">
        <x:v>来源：招商银行2024年度报告 p16、p20、p25、p26。金额为人民币百万元；PPT展示时除以100换算为亿元。</x:v>
      </x:c>
      <x:c r="F21" s="30" t="str">
        <x:v>来源：招商银行2024年度报告 p16、p20、p25、p26。金额为人民币百万元；PPT展示时除以100换算为亿元。</x:v>
      </x:c>
      <x:c r="G21" s="30" t="str">
        <x:v>来源：招商银行2024年度报告 p16、p20、p25、p26。金额为人民币百万元；PPT展示时除以100换算为亿元。</x:v>
      </x:c>
      <x:c r="H21" s="30" t="str">
        <x:v>来源：招商银行2024年度报告 p16、p20、p25、p26。金额为人民币百万元；PPT展示时除以100换算为亿元。</x:v>
      </x:c>
    </x:row>
  </x:sheetData>
  <x:mergeCells>
    <x:mergeCell ref="A1:H1"/>
    <x:mergeCell ref="A14:H14"/>
    <x:mergeCell ref="A21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28" hidden="0" customWidth="1"/>
  </x:cols>
  <x:sheetData>
    <x:row r="1" ht="34" customHeight="1">
      <x:c r="A1" s="4" t="str">
        <x:v>02｜净息差与净利息收入量价拆分</x:v>
      </x:c>
      <x:c r="B1" s="4" t="str">
        <x:v>02｜净息差与净利息收入量价拆分</x:v>
      </x:c>
      <x:c r="C1" s="4" t="str">
        <x:v>02｜净息差与净利息收入量价拆分</x:v>
      </x:c>
      <x:c r="D1" s="4" t="str">
        <x:v>02｜净息差与净利息收入量价拆分</x:v>
      </x:c>
      <x:c r="E1" s="4" t="str">
        <x:v>02｜净息差与净利息收入量价拆分</x:v>
      </x:c>
      <x:c r="F1" s="4" t="str">
        <x:v>02｜净息差与净利息收入量价拆分</x:v>
      </x:c>
      <x:c r="G1" s="4" t="str">
        <x:v>02｜净息差与净利息收入量价拆分</x:v>
      </x:c>
    </x:row>
    <x:row r="2">
      <x:c r="A2" s="31"/>
      <x:c r="B2" s="31"/>
      <x:c r="C2" s="31"/>
      <x:c r="D2" s="31"/>
      <x:c r="E2" s="31"/>
      <x:c r="F2" s="31"/>
      <x:c r="G2" s="31"/>
    </x:row>
    <x:row r="3" ht="28" customHeight="1">
      <x:c r="A3" s="15" t="str">
        <x:v>指标</x:v>
      </x:c>
      <x:c r="B3" s="15" t="str">
        <x:v>2023</x:v>
      </x:c>
      <x:c r="C3" s="15" t="str">
        <x:v>2024</x:v>
      </x:c>
      <x:c r="D3" s="15" t="str">
        <x:v>变化</x:v>
      </x:c>
      <x:c r="E3" s="15" t="str">
        <x:v>单位</x:v>
      </x:c>
      <x:c r="F3" s="15" t="str">
        <x:v>判读</x:v>
      </x:c>
      <x:c r="G3" s="15" t="str">
        <x:v>年报页码</x:v>
      </x:c>
    </x:row>
    <x:row r="4">
      <x:c r="A4" s="20" t="str">
        <x:v>客户贷款收益率</x:v>
      </x:c>
      <x:c r="B4" s="41" t="n">
        <x:v>0.0426</x:v>
      </x:c>
      <x:c r="C4" s="41" t="n">
        <x:v>0.0391</x:v>
      </x:c>
      <x:c r="D4" s="42" t="n">
        <x:f>(C4-B4)*10000</x:f>
        <x:v>-34.999999999999964</x:v>
      </x:c>
      <x:c r="E4" s="20" t="str">
        <x:v>%</x:v>
      </x:c>
      <x:c r="F4" s="20" t="str">
        <x:v>资产端收益率下降35bp</x:v>
      </x:c>
      <x:c r="G4" s="20" t="str">
        <x:v>p23</x:v>
      </x:c>
    </x:row>
    <x:row r="5">
      <x:c r="A5" s="20" t="str">
        <x:v>客户存款成本率</x:v>
      </x:c>
      <x:c r="B5" s="41" t="n">
        <x:v>0.0162</x:v>
      </x:c>
      <x:c r="C5" s="41" t="n">
        <x:v>0.0154</x:v>
      </x:c>
      <x:c r="D5" s="42" t="n">
        <x:f>(C5-B5)*10000</x:f>
        <x:v>-7.999999999999987</x:v>
      </x:c>
      <x:c r="E5" s="20" t="str">
        <x:v>%</x:v>
      </x:c>
      <x:c r="F5" s="20" t="str">
        <x:v>负债成本下降8bp</x:v>
      </x:c>
      <x:c r="G5" s="20" t="str">
        <x:v>p23</x:v>
      </x:c>
    </x:row>
    <x:row r="6">
      <x:c r="A6" s="20" t="str">
        <x:v>净息差 NIM</x:v>
      </x:c>
      <x:c r="B6" s="41" t="n">
        <x:v>0.0215</x:v>
      </x:c>
      <x:c r="C6" s="41" t="n">
        <x:v>0.0198</x:v>
      </x:c>
      <x:c r="D6" s="42" t="n">
        <x:f>(C6-B6)*10000</x:f>
        <x:v>-16.999999999999968</x:v>
      </x:c>
      <x:c r="E6" s="20" t="str">
        <x:v>%</x:v>
      </x:c>
      <x:c r="F6" s="20" t="str">
        <x:v>收窄17bp</x:v>
      </x:c>
      <x:c r="G6" s="20" t="str">
        <x:v>p23</x:v>
      </x:c>
    </x:row>
    <x:row r="7">
      <x:c r="A7" s="20" t="str">
        <x:v>平均生息资产</x:v>
      </x:c>
      <x:c r="B7" s="20"/>
      <x:c r="C7" s="43" t="n">
        <x:v>10686141</x:v>
      </x:c>
      <x:c r="D7" s="20"/>
      <x:c r="E7" s="20" t="str">
        <x:v>百万元</x:v>
      </x:c>
      <x:c r="F7" s="20" t="str">
        <x:v>压力测试NIM损失分母</x:v>
      </x:c>
      <x:c r="G7" s="20" t="str">
        <x:v>p23</x:v>
      </x:c>
    </x:row>
    <x:row r="8">
      <x:c r="A8" s="31"/>
      <x:c r="B8" s="31"/>
      <x:c r="C8" s="31"/>
      <x:c r="D8" s="31"/>
      <x:c r="E8" s="31"/>
      <x:c r="F8" s="31"/>
      <x:c r="G8" s="31"/>
    </x:row>
    <x:row r="9" ht="24" customHeight="1">
      <x:c r="A9" s="27" t="str">
        <x:v>净利息收入量价桥（人民币百万元）</x:v>
      </x:c>
      <x:c r="B9" s="27" t="str">
        <x:v>净利息收入量价桥（人民币百万元）</x:v>
      </x:c>
      <x:c r="C9" s="27" t="str">
        <x:v>净利息收入量价桥（人民币百万元）</x:v>
      </x:c>
      <x:c r="D9" s="27" t="str">
        <x:v>净利息收入量价桥（人民币百万元）</x:v>
      </x:c>
      <x:c r="E9" s="27" t="str">
        <x:v>净利息收入量价桥（人民币百万元）</x:v>
      </x:c>
      <x:c r="F9" s="27" t="str">
        <x:v>净利息收入量价桥（人民币百万元）</x:v>
      </x:c>
      <x:c r="G9" s="27" t="str">
        <x:v>净利息收入量价桥（人民币百万元）</x:v>
      </x:c>
    </x:row>
    <x:row r="10" ht="28" customHeight="1">
      <x:c r="A10" s="15" t="str">
        <x:v>顺序</x:v>
      </x:c>
      <x:c r="B10" s="15" t="str">
        <x:v>桥接项目</x:v>
      </x:c>
      <x:c r="C10" s="15" t="str">
        <x:v>数值</x:v>
      </x:c>
      <x:c r="D10" s="15" t="str">
        <x:v>累计值</x:v>
      </x:c>
      <x:c r="E10" s="15" t="str">
        <x:v>方向</x:v>
      </x:c>
      <x:c r="F10" s="15" t="str">
        <x:v>年报页码</x:v>
      </x:c>
      <x:c r="G10" s="15" t="str">
        <x:v>说明</x:v>
      </x:c>
    </x:row>
    <x:row r="11">
      <x:c r="A11" s="21" t="n">
        <x:v>1</x:v>
      </x:c>
      <x:c r="B11" s="21" t="str">
        <x:v>2023净利息收入</x:v>
      </x:c>
      <x:c r="C11" s="45" t="n">
        <x:v>214669</x:v>
      </x:c>
      <x:c r="D11" s="45" t="n">
        <x:f>C11</x:f>
        <x:v>214669</x:v>
      </x:c>
      <x:c r="E11" s="21" t="str">
        <x:v>起点</x:v>
      </x:c>
      <x:c r="F11" s="21" t="str">
        <x:v>p20/p24</x:v>
      </x:c>
      <x:c r="G11" s="21" t="str">
        <x:v>年报事实</x:v>
      </x:c>
    </x:row>
    <x:row r="12">
      <x:c r="A12" s="21" t="n">
        <x:v>2</x:v>
      </x:c>
      <x:c r="B12" s="21" t="str">
        <x:v>规模因素</x:v>
      </x:c>
      <x:c r="C12" s="45" t="n">
        <x:v>15244</x:v>
      </x:c>
      <x:c r="D12" s="45" t="n">
        <x:f>D11+C12</x:f>
        <x:v>229913</x:v>
      </x:c>
      <x:c r="E12" s="21" t="str">
        <x:v>正贡献</x:v>
      </x:c>
      <x:c r="F12" s="21" t="str">
        <x:v>p24</x:v>
      </x:c>
      <x:c r="G12" s="21" t="str">
        <x:v>年报量价拆分</x:v>
      </x:c>
    </x:row>
    <x:row r="13">
      <x:c r="A13" s="21" t="n">
        <x:v>3</x:v>
      </x:c>
      <x:c r="B13" s="21" t="str">
        <x:v>利率因素</x:v>
      </x:c>
      <x:c r="C13" s="45" t="n">
        <x:v>-18636</x:v>
      </x:c>
      <x:c r="D13" s="45" t="n">
        <x:f>D12+C13</x:f>
        <x:v>211277</x:v>
      </x:c>
      <x:c r="E13" s="21" t="str">
        <x:v>负贡献</x:v>
      </x:c>
      <x:c r="F13" s="21" t="str">
        <x:v>p24</x:v>
      </x:c>
      <x:c r="G13" s="21" t="str">
        <x:v>年报量价拆分</x:v>
      </x:c>
    </x:row>
    <x:row r="14">
      <x:c r="A14" s="21" t="n">
        <x:v>4</x:v>
      </x:c>
      <x:c r="B14" s="21" t="str">
        <x:v>2024净利息收入</x:v>
      </x:c>
      <x:c r="C14" s="45" t="n">
        <x:v>211277</x:v>
      </x:c>
      <x:c r="D14" s="45" t="n">
        <x:f>C14</x:f>
        <x:v>211277</x:v>
      </x:c>
      <x:c r="E14" s="21" t="str">
        <x:v>终点</x:v>
      </x:c>
      <x:c r="F14" s="21" t="str">
        <x:v>p20/p24</x:v>
      </x:c>
      <x:c r="G14" s="21" t="str">
        <x:v>年报事实</x:v>
      </x:c>
    </x:row>
    <x:row r="15">
      <x:c r="A15" s="24" t="n">
        <x:v>5</x:v>
      </x:c>
      <x:c r="B15" s="24" t="str">
        <x:v>勾稽差</x:v>
      </x:c>
      <x:c r="C15" s="46" t="n">
        <x:f>C11+C12+C13-C14</x:f>
        <x:v>0</x:v>
      </x:c>
      <x:c r="D15" s="46" t="n">
        <x:f>C15</x:f>
        <x:v>0</x:v>
      </x:c>
      <x:c r="E15" s="24" t="str">
        <x:v>应为0</x:v>
      </x:c>
      <x:c r="F15" s="24" t="str">
        <x:v>计算</x:v>
      </x:c>
      <x:c r="G15" s="24" t="str">
        <x:v>2023+规模+利率-2024</x:v>
      </x:c>
    </x:row>
    <x:row r="16">
      <x:c r="A16" s="31"/>
      <x:c r="B16" s="31"/>
      <x:c r="C16" s="31"/>
      <x:c r="D16" s="31"/>
      <x:c r="E16" s="31"/>
      <x:c r="F16" s="31"/>
      <x:c r="G16" s="31"/>
    </x:row>
    <x:row r="17" ht="30" customHeight="1">
      <x:c r="A17" s="30" t="str">
        <x:v>来源：招商银行2024年度报告 p23–24。量价拆分合计-3,392百万元，与2024净利息收入211,277百万元勾稽。</x:v>
      </x:c>
      <x:c r="B17" s="30" t="str">
        <x:v>来源：招商银行2024年度报告 p23–24。量价拆分合计-3,392百万元，与2024净利息收入211,277百万元勾稽。</x:v>
      </x:c>
      <x:c r="C17" s="30" t="str">
        <x:v>来源：招商银行2024年度报告 p23–24。量价拆分合计-3,392百万元，与2024净利息收入211,277百万元勾稽。</x:v>
      </x:c>
      <x:c r="D17" s="30" t="str">
        <x:v>来源：招商银行2024年度报告 p23–24。量价拆分合计-3,392百万元，与2024净利息收入211,277百万元勾稽。</x:v>
      </x:c>
      <x:c r="E17" s="30" t="str">
        <x:v>来源：招商银行2024年度报告 p23–24。量价拆分合计-3,392百万元，与2024净利息收入211,277百万元勾稽。</x:v>
      </x:c>
      <x:c r="F17" s="30" t="str">
        <x:v>来源：招商银行2024年度报告 p23–24。量价拆分合计-3,392百万元，与2024净利息收入211,277百万元勾稽。</x:v>
      </x:c>
      <x:c r="G17" s="30" t="str">
        <x:v>来源：招商银行2024年度报告 p23–24。量价拆分合计-3,392百万元，与2024净利息收入211,277百万元勾稽。</x:v>
      </x:c>
    </x:row>
  </x:sheetData>
  <x:mergeCells>
    <x:mergeCell ref="A1:G1"/>
    <x:mergeCell ref="A9:G9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28" hidden="0" customWidth="1"/>
    <x:col min="7" max="7" width="14" hidden="0" customWidth="1"/>
    <x:col min="8" max="8" width="24" hidden="0" customWidth="1"/>
  </x:cols>
  <x:sheetData>
    <x:row r="1" ht="34" customHeight="1">
      <x:c r="A1" s="4" t="str">
        <x:v>03｜贷款五级分类、逾期与拨备</x:v>
      </x:c>
      <x:c r="B1" s="4" t="str">
        <x:v>03｜贷款五级分类、逾期与拨备</x:v>
      </x:c>
      <x:c r="C1" s="4" t="str">
        <x:v>03｜贷款五级分类、逾期与拨备</x:v>
      </x:c>
      <x:c r="D1" s="4" t="str">
        <x:v>03｜贷款五级分类、逾期与拨备</x:v>
      </x:c>
      <x:c r="E1" s="4" t="str">
        <x:v>03｜贷款五级分类、逾期与拨备</x:v>
      </x:c>
      <x:c r="F1" s="4" t="str">
        <x:v>03｜贷款五级分类、逾期与拨备</x:v>
      </x:c>
      <x:c r="G1" s="4" t="str">
        <x:v>03｜贷款五级分类、逾期与拨备</x:v>
      </x:c>
      <x:c r="H1" s="4" t="str">
        <x:v>03｜贷款五级分类、逾期与拨备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15" t="str">
        <x:v>类别</x:v>
      </x:c>
      <x:c r="B3" s="15" t="str">
        <x:v>2024余额</x:v>
      </x:c>
      <x:c r="C3" s="15" t="str">
        <x:v>占客户贷款</x:v>
      </x:c>
      <x:c r="D3" s="15" t="str">
        <x:v>是否不良</x:v>
      </x:c>
      <x:c r="E3" s="15" t="str">
        <x:v>不良汇总</x:v>
      </x:c>
      <x:c r="F3" s="15" t="str">
        <x:v>单位</x:v>
      </x:c>
      <x:c r="G3" s="15" t="str">
        <x:v>年报页码</x:v>
      </x:c>
      <x:c r="H3" s="15" t="str">
        <x:v>备注</x:v>
      </x:c>
    </x:row>
    <x:row r="4">
      <x:c r="A4" s="20" t="str">
        <x:v>正常</x:v>
      </x:c>
      <x:c r="B4" s="43" t="n">
        <x:v>6733625</x:v>
      </x:c>
      <x:c r="C4" s="41" t="n">
        <x:f>B4/$B$10</x:f>
        <x:v>0.9775431291977792</x:v>
      </x:c>
      <x:c r="D4" s="20" t="str">
        <x:v>否</x:v>
      </x:c>
      <x:c r="E4" s="20"/>
      <x:c r="F4" s="20" t="str">
        <x:v>百万元</x:v>
      </x:c>
      <x:c r="G4" s="20" t="str">
        <x:v>p32</x:v>
      </x:c>
      <x:c r="H4" s="20" t="str">
        <x:v>五级分类</x:v>
      </x:c>
    </x:row>
    <x:row r="5">
      <x:c r="A5" s="20" t="str">
        <x:v>关注</x:v>
      </x:c>
      <x:c r="B5" s="43" t="n">
        <x:v>89080</x:v>
      </x:c>
      <x:c r="C5" s="41" t="n">
        <x:f>B5/$B$10</x:f>
        <x:v>0.012932045064721924</x:v>
      </x:c>
      <x:c r="D5" s="20" t="str">
        <x:v>否</x:v>
      </x:c>
      <x:c r="E5" s="20"/>
      <x:c r="F5" s="20" t="str">
        <x:v>百万元</x:v>
      </x:c>
      <x:c r="G5" s="20" t="str">
        <x:v>p32</x:v>
      </x:c>
      <x:c r="H5" s="20" t="str">
        <x:v>预警类别</x:v>
      </x:c>
    </x:row>
    <x:row r="6">
      <x:c r="A6" s="20" t="str">
        <x:v>次级</x:v>
      </x:c>
      <x:c r="B6" s="43" t="n">
        <x:v>16872</x:v>
      </x:c>
      <x:c r="C6" s="41" t="n">
        <x:f>B6/$B$10</x:f>
        <x:v>0.0024493653382576144</x:v>
      </x:c>
      <x:c r="D6" s="20" t="str">
        <x:v>是</x:v>
      </x:c>
      <x:c r="E6" s="20"/>
      <x:c r="F6" s="20" t="str">
        <x:v>百万元</x:v>
      </x:c>
      <x:c r="G6" s="20" t="str">
        <x:v>p32</x:v>
      </x:c>
      <x:c r="H6" s="20" t="str">
        <x:v>不良</x:v>
      </x:c>
    </x:row>
    <x:row r="7">
      <x:c r="A7" s="20" t="str">
        <x:v>可疑</x:v>
      </x:c>
      <x:c r="B7" s="43" t="n">
        <x:v>23054</x:v>
      </x:c>
      <x:c r="C7" s="41" t="n">
        <x:f>B7/$B$10</x:f>
        <x:v>0.0033468271993949174</x:v>
      </x:c>
      <x:c r="D7" s="20" t="str">
        <x:v>是</x:v>
      </x:c>
      <x:c r="E7" s="20"/>
      <x:c r="F7" s="20" t="str">
        <x:v>百万元</x:v>
      </x:c>
      <x:c r="G7" s="20" t="str">
        <x:v>p32</x:v>
      </x:c>
      <x:c r="H7" s="20" t="str">
        <x:v>不良</x:v>
      </x:c>
    </x:row>
    <x:row r="8">
      <x:c r="A8" s="20" t="str">
        <x:v>损失</x:v>
      </x:c>
      <x:c r="B8" s="43" t="n">
        <x:v>25684</x:v>
      </x:c>
      <x:c r="C8" s="41" t="n">
        <x:f>B8/$B$10</x:f>
        <x:v>0.0037286331998464066</x:v>
      </x:c>
      <x:c r="D8" s="20" t="str">
        <x:v>是</x:v>
      </x:c>
      <x:c r="E8" s="20"/>
      <x:c r="F8" s="20" t="str">
        <x:v>百万元</x:v>
      </x:c>
      <x:c r="G8" s="20" t="str">
        <x:v>p32</x:v>
      </x:c>
      <x:c r="H8" s="20" t="str">
        <x:v>不良</x:v>
      </x:c>
    </x:row>
    <x:row r="9">
      <x:c r="A9" s="23" t="str">
        <x:v>不良贷款合计</x:v>
      </x:c>
      <x:c r="B9" s="47" t="n">
        <x:v>65610</x:v>
      </x:c>
      <x:c r="C9" s="48" t="n">
        <x:f>B9/$B$10</x:f>
        <x:v>0.009524825737498938</x:v>
      </x:c>
      <x:c r="D9" s="23" t="str">
        <x:v>是</x:v>
      </x:c>
      <x:c r="E9" s="23" t="n">
        <x:f>SUM(B6:B8)</x:f>
        <x:v>65610</x:v>
      </x:c>
      <x:c r="F9" s="23" t="str">
        <x:v>百万元</x:v>
      </x:c>
      <x:c r="G9" s="23" t="str">
        <x:v>p32</x:v>
      </x:c>
      <x:c r="H9" s="23" t="str">
        <x:v>次级+可疑+损失</x:v>
      </x:c>
    </x:row>
    <x:row r="10">
      <x:c r="A10" s="20" t="str">
        <x:v>客户贷款合计</x:v>
      </x:c>
      <x:c r="B10" s="43" t="n">
        <x:v>6888315</x:v>
      </x:c>
      <x:c r="C10" s="41" t="n">
        <x:v>1</x:v>
      </x:c>
      <x:c r="D10" s="20" t="str">
        <x:v>—</x:v>
      </x:c>
      <x:c r="E10" s="20"/>
      <x:c r="F10" s="20" t="str">
        <x:v>百万元</x:v>
      </x:c>
      <x:c r="G10" s="20" t="str">
        <x:v>p32</x:v>
      </x:c>
      <x:c r="H10" s="20" t="str">
        <x:v>分母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 ht="24" customHeight="1">
      <x:c r="A12" s="27" t="str">
        <x:v>关键预警指标</x:v>
      </x:c>
      <x:c r="B12" s="27" t="str">
        <x:v>关键预警指标</x:v>
      </x:c>
      <x:c r="C12" s="27" t="str">
        <x:v>关键预警指标</x:v>
      </x:c>
      <x:c r="D12" s="27" t="str">
        <x:v>关键预警指标</x:v>
      </x:c>
      <x:c r="E12" s="27" t="str">
        <x:v>关键预警指标</x:v>
      </x:c>
      <x:c r="F12" s="27" t="str">
        <x:v>关键预警指标</x:v>
      </x:c>
      <x:c r="G12" s="27" t="str">
        <x:v>关键预警指标</x:v>
      </x:c>
      <x:c r="H12" s="27" t="str">
        <x:v>关键预警指标</x:v>
      </x:c>
    </x:row>
    <x:row r="13" ht="28" customHeight="1">
      <x:c r="A13" s="15" t="str">
        <x:v>指标</x:v>
      </x:c>
      <x:c r="B13" s="15" t="str">
        <x:v>2023</x:v>
      </x:c>
      <x:c r="C13" s="15" t="str">
        <x:v>2024</x:v>
      </x:c>
      <x:c r="D13" s="15" t="str">
        <x:v>变化</x:v>
      </x:c>
      <x:c r="E13" s="15" t="str">
        <x:v>单位</x:v>
      </x:c>
      <x:c r="F13" s="15" t="str">
        <x:v>公式/口径</x:v>
      </x:c>
      <x:c r="G13" s="15" t="str">
        <x:v>年报页码</x:v>
      </x:c>
      <x:c r="H13" s="15" t="str">
        <x:v>判读</x:v>
      </x:c>
    </x:row>
    <x:row r="14">
      <x:c r="A14" s="21" t="str">
        <x:v>不良贷款余额</x:v>
      </x:c>
      <x:c r="B14" s="36" t="n">
        <x:v>61579</x:v>
      </x:c>
      <x:c r="C14" s="36" t="n">
        <x:v>65610</x:v>
      </x:c>
      <x:c r="D14" s="36" t="n">
        <x:f>C14-B14</x:f>
        <x:v>4031</x:v>
      </x:c>
      <x:c r="E14" s="21" t="str">
        <x:v>百万元</x:v>
      </x:c>
      <x:c r="F14" s="21" t="str">
        <x:v>年报披露</x:v>
      </x:c>
      <x:c r="G14" s="21" t="str">
        <x:v>p32/p33</x:v>
      </x:c>
      <x:c r="H14" s="21" t="str">
        <x:v>上升</x:v>
      </x:c>
    </x:row>
    <x:row r="15">
      <x:c r="A15" s="21" t="str">
        <x:v>不良率</x:v>
      </x:c>
      <x:c r="B15" s="36"/>
      <x:c r="C15" s="49" t="n">
        <x:f>C14/$B$10</x:f>
        <x:v>0.009524825737498938</x:v>
      </x:c>
      <x:c r="D15" s="49"/>
      <x:c r="E15" s="21" t="str">
        <x:v>%</x:v>
      </x:c>
      <x:c r="F15" s="21" t="str">
        <x:v>不良/客户贷款</x:v>
      </x:c>
      <x:c r="G15" s="21" t="str">
        <x:v>计算</x:v>
      </x:c>
      <x:c r="H15" s="21" t="str">
        <x:v>2024约0.95%</x:v>
      </x:c>
    </x:row>
    <x:row r="16">
      <x:c r="A16" s="21" t="str">
        <x:v>关注+不良预警比例</x:v>
      </x:c>
      <x:c r="B16" s="36"/>
      <x:c r="C16" s="49" t="n">
        <x:f>($B$5+$B$9)/$B$10</x:f>
        <x:v>0.022456870802220863</x:v>
      </x:c>
      <x:c r="D16" s="49"/>
      <x:c r="E16" s="21" t="str">
        <x:v>%</x:v>
      </x:c>
      <x:c r="F16" s="21" t="str">
        <x:v>(关注+不良)/客户贷款</x:v>
      </x:c>
      <x:c r="G16" s="21" t="str">
        <x:v>p32/计算</x:v>
      </x:c>
      <x:c r="H16" s="21" t="str">
        <x:v>2024约2.25%</x:v>
      </x:c>
    </x:row>
    <x:row r="17">
      <x:c r="A17" s="21" t="str">
        <x:v>逾期贷款余额</x:v>
      </x:c>
      <x:c r="B17" s="36" t="n">
        <x:v>81983</x:v>
      </x:c>
      <x:c r="C17" s="36" t="n">
        <x:v>91875</x:v>
      </x:c>
      <x:c r="D17" s="49" t="n">
        <x:f>C17/B17-1</x:f>
        <x:v>0.12065916104558272</x:v>
      </x:c>
      <x:c r="E17" s="21" t="str">
        <x:v>百万元</x:v>
      </x:c>
      <x:c r="F17" s="21" t="str">
        <x:v>年报披露</x:v>
      </x:c>
      <x:c r="G17" s="21" t="str">
        <x:v>p37</x:v>
      </x:c>
      <x:c r="H17" s="21" t="str">
        <x:v>上升12.07%</x:v>
      </x:c>
    </x:row>
    <x:row r="18">
      <x:c r="A18" s="21" t="str">
        <x:v>贷款减值准备/拨备覆盖率</x:v>
      </x:c>
      <x:c r="B18" s="36"/>
      <x:c r="C18" s="36" t="n">
        <x:v>270301</x:v>
      </x:c>
      <x:c r="D18" s="49" t="n">
        <x:v>4.1198</x:v>
      </x:c>
      <x:c r="E18" s="21" t="str">
        <x:v>百万元/%</x:v>
      </x:c>
      <x:c r="F18" s="21" t="str">
        <x:v>年报披露</x:v>
      </x:c>
      <x:c r="G18" s="21" t="str">
        <x:v>p38</x:v>
      </x:c>
      <x:c r="H18" s="21" t="str">
        <x:v>覆盖率411.98%</x:v>
      </x:c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 ht="30" customHeight="1">
      <x:c r="A20" s="30" t="str">
        <x:v>来源：招商银行2024年度报告 p32、p37–38。关注类不是不良，但与不良合并可构成前瞻预警观察口径。</x:v>
      </x:c>
      <x:c r="B20" s="30" t="str">
        <x:v>来源：招商银行2024年度报告 p32、p37–38。关注类不是不良，但与不良合并可构成前瞻预警观察口径。</x:v>
      </x:c>
      <x:c r="C20" s="30" t="str">
        <x:v>来源：招商银行2024年度报告 p32、p37–38。关注类不是不良，但与不良合并可构成前瞻预警观察口径。</x:v>
      </x:c>
      <x:c r="D20" s="30" t="str">
        <x:v>来源：招商银行2024年度报告 p32、p37–38。关注类不是不良，但与不良合并可构成前瞻预警观察口径。</x:v>
      </x:c>
      <x:c r="E20" s="30" t="str">
        <x:v>来源：招商银行2024年度报告 p32、p37–38。关注类不是不良，但与不良合并可构成前瞻预警观察口径。</x:v>
      </x:c>
      <x:c r="F20" s="30" t="str">
        <x:v>来源：招商银行2024年度报告 p32、p37–38。关注类不是不良，但与不良合并可构成前瞻预警观察口径。</x:v>
      </x:c>
      <x:c r="G20" s="30" t="str">
        <x:v>来源：招商银行2024年度报告 p32、p37–38。关注类不是不良，但与不良合并可构成前瞻预警观察口径。</x:v>
      </x:c>
      <x:c r="H20" s="30" t="str">
        <x:v>来源：招商银行2024年度报告 p32、p37–38。关注类不是不良，但与不良合并可构成前瞻预警观察口径。</x:v>
      </x:c>
    </x:row>
  </x:sheetData>
  <x:mergeCells>
    <x:mergeCell ref="A1:H1"/>
    <x:mergeCell ref="A12:H12"/>
    <x:mergeCell ref="A20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16" hidden="0" customWidth="1"/>
    <x:col min="5" max="5" width="14" hidden="0" customWidth="1"/>
    <x:col min="6" max="6" width="17" hidden="0" customWidth="1"/>
    <x:col min="7" max="7" width="15" hidden="0" customWidth="1"/>
    <x:col min="8" max="8" width="15" hidden="0" customWidth="1"/>
    <x:col min="9" max="9" width="14" hidden="0" customWidth="1"/>
  </x:cols>
  <x:sheetData>
    <x:row r="1" ht="34" customHeight="1">
      <x:c r="A1" s="4" t="str">
        <x:v>04｜分产品贷款与不良风险</x:v>
      </x:c>
      <x:c r="B1" s="4" t="str">
        <x:v>04｜分产品贷款与不良风险</x:v>
      </x:c>
      <x:c r="C1" s="4" t="str">
        <x:v>04｜分产品贷款与不良风险</x:v>
      </x:c>
      <x:c r="D1" s="4" t="str">
        <x:v>04｜分产品贷款与不良风险</x:v>
      </x:c>
      <x:c r="E1" s="4" t="str">
        <x:v>04｜分产品贷款与不良风险</x:v>
      </x:c>
      <x:c r="F1" s="4" t="str">
        <x:v>04｜分产品贷款与不良风险</x:v>
      </x:c>
      <x:c r="G1" s="4" t="str">
        <x:v>04｜分产品贷款与不良风险</x:v>
      </x:c>
      <x:c r="H1" s="4" t="str">
        <x:v>04｜分产品贷款与不良风险</x:v>
      </x:c>
      <x:c r="I1" s="4" t="str">
        <x:v>04｜分产品贷款与不良风险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</x:row>
    <x:row r="3" ht="28" customHeight="1">
      <x:c r="A3" s="15" t="str">
        <x:v>产品</x:v>
      </x:c>
      <x:c r="B3" s="15" t="str">
        <x:v>2024贷款余额</x:v>
      </x:c>
      <x:c r="C3" s="15" t="str">
        <x:v>贷款占比</x:v>
      </x:c>
      <x:c r="D3" s="15" t="str">
        <x:v>2024不良余额</x:v>
      </x:c>
      <x:c r="E3" s="15" t="str">
        <x:v>披露不良率</x:v>
      </x:c>
      <x:c r="F3" s="15" t="str">
        <x:v>余额反算不良率</x:v>
      </x:c>
      <x:c r="G3" s="15" t="str">
        <x:v>中度冲击(bp)</x:v>
      </x:c>
      <x:c r="H3" s="15" t="str">
        <x:v>重度冲击(bp)</x:v>
      </x:c>
      <x:c r="I3" s="15" t="str">
        <x:v>年报页码</x:v>
      </x:c>
    </x:row>
    <x:row r="4">
      <x:c r="A4" s="20" t="str">
        <x:v>对公贷款</x:v>
      </x:c>
      <x:c r="B4" s="43" t="n">
        <x:v>2863740</x:v>
      </x:c>
      <x:c r="C4" s="41" t="n">
        <x:f>B4/$B$11</x:f>
        <x:v>0.4157388272748851</x:v>
      </x:c>
      <x:c r="D4" s="43" t="n">
        <x:v>30475</x:v>
      </x:c>
      <x:c r="E4" s="41" t="n">
        <x:v>0.0106</x:v>
      </x:c>
      <x:c r="F4" s="41" t="n">
        <x:f>D4/B4</x:f>
        <x:v>0.010641678364656008</x:v>
      </x:c>
      <x:c r="G4" s="22" t="n">
        <x:v>50</x:v>
      </x:c>
      <x:c r="H4" s="22" t="n">
        <x:v>100</x:v>
      </x:c>
      <x:c r="I4" s="19" t="str">
        <x:v>p33</x:v>
      </x:c>
    </x:row>
    <x:row r="5">
      <x:c r="A5" s="20" t="str">
        <x:v>小微贷款</x:v>
      </x:c>
      <x:c r="B5" s="43" t="n">
        <x:v>825443</x:v>
      </x:c>
      <x:c r="C5" s="41" t="n">
        <x:f>B5/$B$11</x:f>
        <x:v>0.11983235377592343</x:v>
      </x:c>
      <x:c r="D5" s="43" t="n">
        <x:v>6538</x:v>
      </x:c>
      <x:c r="E5" s="41" t="n">
        <x:v>0.0079</x:v>
      </x:c>
      <x:c r="F5" s="41" t="n">
        <x:f>D5/B5</x:f>
        <x:v>0.007920595365155438</x:v>
      </x:c>
      <x:c r="G5" s="22" t="n">
        <x:v>80</x:v>
      </x:c>
      <x:c r="H5" s="22" t="n">
        <x:v>160</x:v>
      </x:c>
      <x:c r="I5" s="19" t="str">
        <x:v>p33</x:v>
      </x:c>
    </x:row>
    <x:row r="6">
      <x:c r="A6" s="20" t="str">
        <x:v>住房按揭</x:v>
      </x:c>
      <x:c r="B6" s="43" t="n">
        <x:v>1417450</x:v>
      </x:c>
      <x:c r="C6" s="41" t="n">
        <x:f>B6/$B$11</x:f>
        <x:v>0.20577601343724844</x:v>
      </x:c>
      <x:c r="D6" s="43" t="n">
        <x:v>6840</x:v>
      </x:c>
      <x:c r="E6" s="41" t="n">
        <x:v>0.0048</x:v>
      </x:c>
      <x:c r="F6" s="41" t="n">
        <x:f>D6/B6</x:f>
        <x:v>0.0048255670394017425</x:v>
      </x:c>
      <x:c r="G6" s="22" t="n">
        <x:v>20</x:v>
      </x:c>
      <x:c r="H6" s="22" t="n">
        <x:v>40</x:v>
      </x:c>
      <x:c r="I6" s="19" t="str">
        <x:v>p33</x:v>
      </x:c>
    </x:row>
    <x:row r="7">
      <x:c r="A7" s="20" t="str">
        <x:v>信用卡</x:v>
      </x:c>
      <x:c r="B7" s="43" t="n">
        <x:v>947843</x:v>
      </x:c>
      <x:c r="C7" s="41" t="n">
        <x:f>B7/$B$11</x:f>
        <x:v>0.1376015760022589</x:v>
      </x:c>
      <x:c r="D7" s="43" t="n">
        <x:v>16560</x:v>
      </x:c>
      <x:c r="E7" s="41" t="n">
        <x:v>0.0175</x:v>
      </x:c>
      <x:c r="F7" s="41" t="n">
        <x:f>D7/B7</x:f>
        <x:v>0.017471247875439286</x:v>
      </x:c>
      <x:c r="G7" s="22" t="n">
        <x:v>60</x:v>
      </x:c>
      <x:c r="H7" s="22" t="n">
        <x:v>120</x:v>
      </x:c>
      <x:c r="I7" s="19" t="str">
        <x:v>p33</x:v>
      </x:c>
    </x:row>
    <x:row r="8">
      <x:c r="A8" s="20" t="str">
        <x:v>消费贷款</x:v>
      </x:c>
      <x:c r="B8" s="43" t="n">
        <x:v>396161</x:v>
      </x:c>
      <x:c r="C8" s="41" t="n">
        <x:f>B8/$B$11</x:f>
        <x:v>0.05751203305888305</x:v>
      </x:c>
      <x:c r="D8" s="43" t="n">
        <x:v>4116</x:v>
      </x:c>
      <x:c r="E8" s="41" t="n">
        <x:v>0.0104</x:v>
      </x:c>
      <x:c r="F8" s="41" t="n">
        <x:f>D8/B8</x:f>
        <x:v>0.01038971529251996</x:v>
      </x:c>
      <x:c r="G8" s="22" t="n">
        <x:v>40</x:v>
      </x:c>
      <x:c r="H8" s="22" t="n">
        <x:v>80</x:v>
      </x:c>
      <x:c r="I8" s="19" t="str">
        <x:v>p33</x:v>
      </x:c>
    </x:row>
    <x:row r="9">
      <x:c r="A9" s="20" t="str">
        <x:v>其他零售</x:v>
      </x:c>
      <x:c r="B9" s="43" t="n">
        <x:v>57728</x:v>
      </x:c>
      <x:c r="C9" s="41" t="n">
        <x:f>B9/$B$11</x:f>
        <x:v>0.008380569123218088</x:v>
      </x:c>
      <x:c r="D9" s="43" t="n">
        <x:v>1081</x:v>
      </x:c>
      <x:c r="E9" s="41" t="n">
        <x:v>0.0187</x:v>
      </x:c>
      <x:c r="F9" s="41" t="n">
        <x:f>D9/B9</x:f>
        <x:v>0.018725748337028825</x:v>
      </x:c>
      <x:c r="G9" s="22" t="n">
        <x:v>50</x:v>
      </x:c>
      <x:c r="H9" s="22" t="n">
        <x:v>100</x:v>
      </x:c>
      <x:c r="I9" s="19" t="str">
        <x:v>p33</x:v>
      </x:c>
    </x:row>
    <x:row r="10">
      <x:c r="A10" s="20" t="str">
        <x:v>票据贴现</x:v>
      </x:c>
      <x:c r="B10" s="43" t="n">
        <x:v>379950</x:v>
      </x:c>
      <x:c r="C10" s="41" t="n">
        <x:f>B10/$B$11</x:f>
        <x:v>0.05515862732758302</x:v>
      </x:c>
      <x:c r="D10" s="43" t="n">
        <x:v>0</x:v>
      </x:c>
      <x:c r="E10" s="41" t="n">
        <x:v>0</x:v>
      </x:c>
      <x:c r="F10" s="41" t="n">
        <x:f>D10/B10</x:f>
        <x:v>0</x:v>
      </x:c>
      <x:c r="G10" s="22" t="n">
        <x:v>0</x:v>
      </x:c>
      <x:c r="H10" s="22" t="n">
        <x:v>0</x:v>
      </x:c>
      <x:c r="I10" s="19" t="str">
        <x:v>p33</x:v>
      </x:c>
    </x:row>
    <x:row r="11">
      <x:c r="A11" s="20" t="str">
        <x:v>合计</x:v>
      </x:c>
      <x:c r="B11" s="43" t="n">
        <x:v>6888315</x:v>
      </x:c>
      <x:c r="C11" s="41" t="n">
        <x:v>1</x:v>
      </x:c>
      <x:c r="D11" s="43" t="n">
        <x:v>65610</x:v>
      </x:c>
      <x:c r="E11" s="41" t="n">
        <x:v>0.0095</x:v>
      </x:c>
      <x:c r="F11" s="41" t="n">
        <x:f>D11/B11</x:f>
        <x:v>0.009524825737498938</x:v>
      </x:c>
      <x:c r="G11" s="22"/>
      <x:c r="H11" s="22"/>
      <x:c r="I11" s="19" t="str">
        <x:v>p33</x:v>
      </x:c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</x:row>
    <x:row r="13" ht="24" customHeight="1">
      <x:c r="A13" s="27" t="str">
        <x:v>不良增量归因（2023→2024）</x:v>
      </x:c>
      <x:c r="B13" s="27" t="str">
        <x:v>不良增量归因（2023→2024）</x:v>
      </x:c>
      <x:c r="C13" s="27" t="str">
        <x:v>不良增量归因（2023→2024）</x:v>
      </x:c>
      <x:c r="D13" s="27" t="str">
        <x:v>不良增量归因（2023→2024）</x:v>
      </x:c>
      <x:c r="E13" s="27" t="str">
        <x:v>不良增量归因（2023→2024）</x:v>
      </x:c>
      <x:c r="F13" s="27" t="str">
        <x:v>不良增量归因（2023→2024）</x:v>
      </x:c>
      <x:c r="G13" s="27" t="str">
        <x:v>不良增量归因（2023→2024）</x:v>
      </x:c>
      <x:c r="H13" s="27" t="str">
        <x:v>不良增量归因（2023→2024）</x:v>
      </x:c>
      <x:c r="I13" s="27" t="str">
        <x:v>不良增量归因（2023→2024）</x:v>
      </x:c>
    </x:row>
    <x:row r="14" ht="28" customHeight="1">
      <x:c r="A14" s="15" t="str">
        <x:v>组合</x:v>
      </x:c>
      <x:c r="B14" s="15" t="str">
        <x:v>2023贷款余额</x:v>
      </x:c>
      <x:c r="C14" s="15" t="str">
        <x:v>2024贷款余额</x:v>
      </x:c>
      <x:c r="D14" s="15" t="str">
        <x:v>贷款增速</x:v>
      </x:c>
      <x:c r="E14" s="15" t="str">
        <x:v>2023不良</x:v>
      </x:c>
      <x:c r="F14" s="15" t="str">
        <x:v>2024不良</x:v>
      </x:c>
      <x:c r="G14" s="15" t="str">
        <x:v>不良增量</x:v>
      </x:c>
      <x:c r="H14" s="15" t="str">
        <x:v>不良增速</x:v>
      </x:c>
      <x:c r="I14" s="15" t="str">
        <x:v>判读</x:v>
      </x:c>
    </x:row>
    <x:row r="15">
      <x:c r="A15" s="21" t="str">
        <x:v>零售贷款</x:v>
      </x:c>
      <x:c r="B15" s="45" t="n">
        <x:v>3437883</x:v>
      </x:c>
      <x:c r="C15" s="45" t="n">
        <x:v>3644625</x:v>
      </x:c>
      <x:c r="D15" s="49" t="n">
        <x:f>C15/B15-1</x:f>
        <x:v>0.060136426981372004</x:v>
      </x:c>
      <x:c r="E15" s="45" t="n">
        <x:v>30587</x:v>
      </x:c>
      <x:c r="F15" s="45" t="n">
        <x:v>35135</x:v>
      </x:c>
      <x:c r="G15" s="45" t="n">
        <x:f>F15-E15</x:f>
        <x:v>4548</x:v>
      </x:c>
      <x:c r="H15" s="49" t="n">
        <x:f>F15/E15-1</x:f>
        <x:v>0.1486906201981233</x:v>
      </x:c>
      <x:c r="I15" s="21" t="str">
        <x:v>贷款+6.01%，不良+14.87%</x:v>
      </x:c>
    </x:row>
    <x:row r="16">
      <x:c r="A16" s="21" t="str">
        <x:v>对公贷款</x:v>
      </x:c>
      <x:c r="B16" s="45"/>
      <x:c r="C16" s="45" t="n">
        <x:v>2863740</x:v>
      </x:c>
      <x:c r="D16" s="49"/>
      <x:c r="E16" s="45" t="n">
        <x:v>30992</x:v>
      </x:c>
      <x:c r="F16" s="45" t="n">
        <x:v>30475</x:v>
      </x:c>
      <x:c r="G16" s="45" t="n">
        <x:f>F16-E16</x:f>
        <x:v>-517</x:v>
      </x:c>
      <x:c r="H16" s="49" t="n">
        <x:f>F16/E16-1</x:f>
        <x:v>-0.016681724315952495</x:v>
      </x:c>
      <x:c r="I16" s="21" t="str">
        <x:v>不良减少517</x:v>
      </x:c>
    </x:row>
    <x:row r="17">
      <x:c r="A17" s="21" t="str">
        <x:v>全行</x:v>
      </x:c>
      <x:c r="B17" s="45" t="n">
        <x:v>6508865</x:v>
      </x:c>
      <x:c r="C17" s="45" t="n">
        <x:v>6888315</x:v>
      </x:c>
      <x:c r="D17" s="49" t="n">
        <x:f>C17/B17-1</x:f>
        <x:v>0.05829741437255187</x:v>
      </x:c>
      <x:c r="E17" s="45" t="n">
        <x:v>61579</x:v>
      </x:c>
      <x:c r="F17" s="45" t="n">
        <x:v>65610</x:v>
      </x:c>
      <x:c r="G17" s="45" t="n">
        <x:f>F17-E17</x:f>
        <x:v>4031</x:v>
      </x:c>
      <x:c r="H17" s="49" t="n">
        <x:f>F17/E17-1</x:f>
        <x:v>0.06546062781142914</x:v>
      </x:c>
      <x:c r="I17" s="21" t="str">
        <x:v>净增不良4,031</x:v>
      </x:c>
    </x:row>
    <x:row r="18">
      <x:c r="A18" s="21" t="str">
        <x:v>零售占全行不良</x:v>
      </x:c>
      <x:c r="B18" s="45"/>
      <x:c r="C18" s="45"/>
      <x:c r="D18" s="45"/>
      <x:c r="E18" s="45"/>
      <x:c r="F18" s="45"/>
      <x:c r="G18" s="45"/>
      <x:c r="H18" s="49" t="n">
        <x:f>F15/F17</x:f>
        <x:v>0.5355128791342784</x:v>
      </x:c>
      <x:c r="I18" s="21" t="str">
        <x:v>2024零售贡献53.55%</x:v>
      </x:c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</x:row>
    <x:row r="20" ht="30" customHeight="1">
      <x:c r="A20" s="30" t="str">
        <x:v>来源：招商银行2024年度报告 p33。压力测试用贷款余额×给定冲击bp计算新增不良；不得用披露两位小数不良率反推基期余额。</x:v>
      </x:c>
      <x:c r="B20" s="30" t="str">
        <x:v>来源：招商银行2024年度报告 p33。压力测试用贷款余额×给定冲击bp计算新增不良；不得用披露两位小数不良率反推基期余额。</x:v>
      </x:c>
      <x:c r="C20" s="30" t="str">
        <x:v>来源：招商银行2024年度报告 p33。压力测试用贷款余额×给定冲击bp计算新增不良；不得用披露两位小数不良率反推基期余额。</x:v>
      </x:c>
      <x:c r="D20" s="30" t="str">
        <x:v>来源：招商银行2024年度报告 p33。压力测试用贷款余额×给定冲击bp计算新增不良；不得用披露两位小数不良率反推基期余额。</x:v>
      </x:c>
      <x:c r="E20" s="30" t="str">
        <x:v>来源：招商银行2024年度报告 p33。压力测试用贷款余额×给定冲击bp计算新增不良；不得用披露两位小数不良率反推基期余额。</x:v>
      </x:c>
      <x:c r="F20" s="30" t="str">
        <x:v>来源：招商银行2024年度报告 p33。压力测试用贷款余额×给定冲击bp计算新增不良；不得用披露两位小数不良率反推基期余额。</x:v>
      </x:c>
      <x:c r="G20" s="30" t="str">
        <x:v>来源：招商银行2024年度报告 p33。压力测试用贷款余额×给定冲击bp计算新增不良；不得用披露两位小数不良率反推基期余额。</x:v>
      </x:c>
      <x:c r="H20" s="30" t="str">
        <x:v>来源：招商银行2024年度报告 p33。压力测试用贷款余额×给定冲击bp计算新增不良；不得用披露两位小数不良率反推基期余额。</x:v>
      </x:c>
      <x:c r="I20" s="30" t="str">
        <x:v>来源：招商银行2024年度报告 p33。压力测试用贷款余额×给定冲击bp计算新增不良；不得用披露两位小数不良率反推基期余额。</x:v>
      </x:c>
    </x:row>
  </x:sheetData>
  <x:mergeCells>
    <x:mergeCell ref="A1:I1"/>
    <x:mergeCell ref="A13:I13"/>
    <x:mergeCell ref="A20:I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34" customHeight="1">
      <x:c r="A1" s="4" t="str">
        <x:v>05｜摊余成本贷款 Stage 迁徙与拨备</x:v>
      </x:c>
      <x:c r="B1" s="4" t="str">
        <x:v>05｜摊余成本贷款 Stage 迁徙与拨备</x:v>
      </x:c>
      <x:c r="C1" s="4" t="str">
        <x:v>05｜摊余成本贷款 Stage 迁徙与拨备</x:v>
      </x:c>
      <x:c r="D1" s="4" t="str">
        <x:v>05｜摊余成本贷款 Stage 迁徙与拨备</x:v>
      </x:c>
      <x:c r="E1" s="4" t="str">
        <x:v>05｜摊余成本贷款 Stage 迁徙与拨备</x:v>
      </x:c>
      <x:c r="F1" s="4" t="str">
        <x:v>05｜摊余成本贷款 Stage 迁徙与拨备</x:v>
      </x:c>
      <x:c r="G1" s="4" t="str">
        <x:v>05｜摊余成本贷款 Stage 迁徙与拨备</x:v>
      </x:c>
      <x:c r="H1" s="4" t="str">
        <x:v>05｜摊余成本贷款 Stage 迁徙与拨备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15" t="str">
        <x:v>Stage</x:v>
      </x:c>
      <x:c r="B3" s="15" t="str">
        <x:v>2023贷款余额</x:v>
      </x:c>
      <x:c r="C3" s="15" t="str">
        <x:v>2024贷款余额</x:v>
      </x:c>
      <x:c r="D3" s="15" t="str">
        <x:v>余额同比</x:v>
      </x:c>
      <x:c r="E3" s="15" t="str">
        <x:v>2023期末拨备</x:v>
      </x:c>
      <x:c r="F3" s="15" t="str">
        <x:v>2024期末拨备</x:v>
      </x:c>
      <x:c r="G3" s="15" t="str">
        <x:v>2024拨备/余额</x:v>
      </x:c>
      <x:c r="H3" s="15" t="str">
        <x:v>年报页码</x:v>
      </x:c>
    </x:row>
    <x:row r="4">
      <x:c r="A4" s="20" t="str">
        <x:v>Stage 1</x:v>
      </x:c>
      <x:c r="B4" s="43" t="n">
        <x:v>5686659</x:v>
      </x:c>
      <x:c r="C4" s="43" t="n">
        <x:v>6030395</x:v>
      </x:c>
      <x:c r="D4" s="41" t="n">
        <x:f>C4/B4-1</x:f>
        <x:v>0.060446036943660575</x:v>
      </x:c>
      <x:c r="E4" s="43" t="n">
        <x:v>165866</x:v>
      </x:c>
      <x:c r="F4" s="43" t="n">
        <x:v>152598</x:v>
      </x:c>
      <x:c r="G4" s="41" t="n">
        <x:f>F4/C4</x:f>
        <x:v>0.025304810049756276</x:v>
      </x:c>
      <x:c r="H4" s="20" t="str">
        <x:v>p210–211/p263</x:v>
      </x:c>
    </x:row>
    <x:row r="5">
      <x:c r="A5" s="20" t="str">
        <x:v>Stage 2</x:v>
      </x:c>
      <x:c r="B5" s="43" t="n">
        <x:v>165105</x:v>
      </x:c>
      <x:c r="C5" s="43" t="n">
        <x:v>204858</x:v>
      </x:c>
      <x:c r="D5" s="41" t="n">
        <x:f>C5/B5-1</x:f>
        <x:v>0.24077405287544296</x:v>
      </x:c>
      <x:c r="E5" s="43" t="n">
        <x:v>47729</x:v>
      </x:c>
      <x:c r="F5" s="43" t="n">
        <x:v>56926</x:v>
      </x:c>
      <x:c r="G5" s="41" t="n">
        <x:f>F5/C5</x:f>
        <x:v>0.27788028780911656</x:v>
      </x:c>
      <x:c r="H5" s="20" t="str">
        <x:v>p210–211/p263</x:v>
      </x:c>
    </x:row>
    <x:row r="6">
      <x:c r="A6" s="20" t="str">
        <x:v>Stage 3</x:v>
      </x:c>
      <x:c r="B6" s="43" t="n">
        <x:v>61560</x:v>
      </x:c>
      <x:c r="C6" s="43" t="n">
        <x:v>65610</x:v>
      </x:c>
      <x:c r="D6" s="41" t="n">
        <x:f>C6/B6-1</x:f>
        <x:v>0.06578947368421062</x:v>
      </x:c>
      <x:c r="E6" s="43" t="n">
        <x:v>53210</x:v>
      </x:c>
      <x:c r="F6" s="43" t="n">
        <x:v>55841</x:v>
      </x:c>
      <x:c r="G6" s="41" t="n">
        <x:f>F6/C6</x:f>
        <x:v>0.8511050144795</x:v>
      </x:c>
      <x:c r="H6" s="20" t="str">
        <x:v>p210–211/p263</x:v>
      </x:c>
    </x:row>
    <x:row r="7">
      <x:c r="A7" s="20" t="str">
        <x:v>合计</x:v>
      </x:c>
      <x:c r="B7" s="43" t="n">
        <x:v>5913324</x:v>
      </x:c>
      <x:c r="C7" s="43" t="n">
        <x:v>6300863</x:v>
      </x:c>
      <x:c r="D7" s="41" t="n">
        <x:f>C7/B7-1</x:f>
        <x:v>0.06553657469132412</x:v>
      </x:c>
      <x:c r="E7" s="43" t="n">
        <x:v>266805</x:v>
      </x:c>
      <x:c r="F7" s="43" t="n">
        <x:v>265365</x:v>
      </x:c>
      <x:c r="G7" s="41" t="n">
        <x:f>F7/C7</x:f>
        <x:v>0.042115659394594045</x:v>
      </x:c>
      <x:c r="H7" s="20" t="str">
        <x:v>p210–211/p263</x:v>
      </x:c>
    </x:row>
    <x:row r="8">
      <x:c r="A8" s="31"/>
      <x:c r="B8" s="31"/>
      <x:c r="C8" s="31"/>
      <x:c r="D8" s="31"/>
      <x:c r="E8" s="31"/>
      <x:c r="F8" s="31"/>
      <x:c r="G8" s="31"/>
      <x:c r="H8" s="31"/>
    </x:row>
    <x:row r="9" ht="24" customHeight="1">
      <x:c r="A9" s="27" t="str">
        <x:v>风险迁徙观察</x:v>
      </x:c>
      <x:c r="B9" s="27" t="str">
        <x:v>风险迁徙观察</x:v>
      </x:c>
      <x:c r="C9" s="27" t="str">
        <x:v>风险迁徙观察</x:v>
      </x:c>
      <x:c r="D9" s="27" t="str">
        <x:v>风险迁徙观察</x:v>
      </x:c>
      <x:c r="E9" s="27" t="str">
        <x:v>风险迁徙观察</x:v>
      </x:c>
      <x:c r="F9" s="27" t="str">
        <x:v>风险迁徙观察</x:v>
      </x:c>
      <x:c r="G9" s="27" t="str">
        <x:v>风险迁徙观察</x:v>
      </x:c>
      <x:c r="H9" s="27" t="str">
        <x:v>风险迁徙观察</x:v>
      </x:c>
    </x:row>
    <x:row r="10" ht="28" customHeight="1">
      <x:c r="A10" s="15" t="str">
        <x:v>指标</x:v>
      </x:c>
      <x:c r="B10" s="15" t="str">
        <x:v>2023</x:v>
      </x:c>
      <x:c r="C10" s="15" t="str">
        <x:v>2024</x:v>
      </x:c>
      <x:c r="D10" s="15" t="str">
        <x:v>变化</x:v>
      </x:c>
      <x:c r="E10" s="15" t="str">
        <x:v>单位</x:v>
      </x:c>
      <x:c r="F10" s="15" t="str">
        <x:v>公式</x:v>
      </x:c>
      <x:c r="G10" s="15" t="str">
        <x:v>正确判读</x:v>
      </x:c>
      <x:c r="H10" s="15" t="str">
        <x:v>性质</x:v>
      </x:c>
    </x:row>
    <x:row r="11">
      <x:c r="A11" s="21" t="str">
        <x:v>Stage 2+3占比</x:v>
      </x:c>
      <x:c r="B11" s="49" t="n">
        <x:f>(B5+B6)/B7</x:f>
        <x:v>0.03833123299179954</x:v>
      </x:c>
      <x:c r="C11" s="49" t="n">
        <x:f>(C5+C6)/C7</x:f>
        <x:v>0.04292554845264847</x:v>
      </x:c>
      <x:c r="D11" s="50" t="n">
        <x:f>(C11-B11)*10000</x:f>
        <x:v>45.9431546084893</x:v>
      </x:c>
      <x:c r="E11" s="21" t="str">
        <x:v>%</x:v>
      </x:c>
      <x:c r="F11" s="21" t="str">
        <x:v>(Stage2+Stage3)/合计</x:v>
      </x:c>
      <x:c r="G11" s="21" t="str">
        <x:v>上升约46bp</x:v>
      </x:c>
      <x:c r="H11" s="21" t="str">
        <x:v>分析派生</x:v>
      </x:c>
    </x:row>
    <x:row r="12">
      <x:c r="A12" s="21" t="str">
        <x:v>Stage 2余额增速</x:v>
      </x:c>
      <x:c r="B12" s="49"/>
      <x:c r="C12" s="49" t="n">
        <x:f>C5/B5-1</x:f>
        <x:v>0.24077405287544296</x:v>
      </x:c>
      <x:c r="D12" s="49" t="n">
        <x:f>C12</x:f>
        <x:v>0.24077405287544296</x:v>
      </x:c>
      <x:c r="E12" s="21" t="str">
        <x:v>%</x:v>
      </x:c>
      <x:c r="F12" s="21" t="str">
        <x:v>2024/2023-1</x:v>
      </x:c>
      <x:c r="G12" s="21" t="str">
        <x:v>增长约24.08%</x:v>
      </x:c>
      <x:c r="H12" s="21" t="str">
        <x:v>分析派生</x:v>
      </x:c>
    </x:row>
    <x:row r="13">
      <x:c r="A13" s="21" t="str">
        <x:v>Stage 2拨备覆盖</x:v>
      </x:c>
      <x:c r="B13" s="49" t="n">
        <x:f>E5/B5</x:f>
        <x:v>0.28908270494533783</x:v>
      </x:c>
      <x:c r="C13" s="49" t="n">
        <x:f>F5/C5</x:f>
        <x:v>0.27788028780911656</x:v>
      </x:c>
      <x:c r="D13" s="50" t="n">
        <x:f>(C13-B13)*10000</x:f>
        <x:v>-112.02417136221277</x:v>
      </x:c>
      <x:c r="E13" s="21" t="str">
        <x:v>%</x:v>
      </x:c>
      <x:c r="F13" s="21" t="str">
        <x:v>Stage2拨备/Stage2余额</x:v>
      </x:c>
      <x:c r="G13" s="21" t="str">
        <x:v>由28.91%降至27.79%</x:v>
      </x:c>
      <x:c r="H13" s="21" t="str">
        <x:v>分析派生</x:v>
      </x:c>
    </x:row>
    <x:row r="14">
      <x:c r="A14" s="21" t="str">
        <x:v>Stage 3拨备覆盖</x:v>
      </x:c>
      <x:c r="B14" s="49" t="n">
        <x:f>E6/B6</x:f>
        <x:v>0.8643599740090968</x:v>
      </x:c>
      <x:c r="C14" s="49" t="n">
        <x:f>F6/C6</x:f>
        <x:v>0.8511050144795</x:v>
      </x:c>
      <x:c r="D14" s="50" t="n">
        <x:f>(C14-B14)*10000</x:f>
        <x:v>-132.54959529596766</x:v>
      </x:c>
      <x:c r="E14" s="21" t="str">
        <x:v>%</x:v>
      </x:c>
      <x:c r="F14" s="21" t="str">
        <x:v>Stage3拨备/Stage3余额</x:v>
      </x:c>
      <x:c r="G14" s="21" t="str">
        <x:v>小幅下降</x:v>
      </x:c>
      <x:c r="H14" s="21" t="str">
        <x:v>分析派生</x:v>
      </x:c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6" ht="30" customHeight="1">
      <x:c r="A16" s="30" t="str">
        <x:v>来源：招商银行2024年度报告 Note 22(c) p210–211 与 Note 60(a)(xi) p263。该Stage口径为摊余成本贷款，与p38全部贷款减值准备口径不同。</x:v>
      </x:c>
      <x:c r="B16" s="30" t="str">
        <x:v>来源：招商银行2024年度报告 Note 22(c) p210–211 与 Note 60(a)(xi) p263。该Stage口径为摊余成本贷款，与p38全部贷款减值准备口径不同。</x:v>
      </x:c>
      <x:c r="C16" s="30" t="str">
        <x:v>来源：招商银行2024年度报告 Note 22(c) p210–211 与 Note 60(a)(xi) p263。该Stage口径为摊余成本贷款，与p38全部贷款减值准备口径不同。</x:v>
      </x:c>
      <x:c r="D16" s="30" t="str">
        <x:v>来源：招商银行2024年度报告 Note 22(c) p210–211 与 Note 60(a)(xi) p263。该Stage口径为摊余成本贷款，与p38全部贷款减值准备口径不同。</x:v>
      </x:c>
      <x:c r="E16" s="30" t="str">
        <x:v>来源：招商银行2024年度报告 Note 22(c) p210–211 与 Note 60(a)(xi) p263。该Stage口径为摊余成本贷款，与p38全部贷款减值准备口径不同。</x:v>
      </x:c>
      <x:c r="F16" s="30" t="str">
        <x:v>来源：招商银行2024年度报告 Note 22(c) p210–211 与 Note 60(a)(xi) p263。该Stage口径为摊余成本贷款，与p38全部贷款减值准备口径不同。</x:v>
      </x:c>
      <x:c r="G16" s="30" t="str">
        <x:v>来源：招商银行2024年度报告 Note 22(c) p210–211 与 Note 60(a)(xi) p263。该Stage口径为摊余成本贷款，与p38全部贷款减值准备口径不同。</x:v>
      </x:c>
      <x:c r="H16" s="30" t="str">
        <x:v>来源：招商银行2024年度报告 Note 22(c) p210–211 与 Note 60(a)(xi) p263。该Stage口径为摊余成本贷款，与p38全部贷款减值准备口径不同。</x:v>
      </x:c>
    </x:row>
  </x:sheetData>
  <x:mergeCells>
    <x:mergeCell ref="A1:H1"/>
    <x:mergeCell ref="A9:H9"/>
    <x:mergeCell ref="A16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4" hidden="0" customWidth="1"/>
    <x:col min="4" max="4" width="25" hidden="0" customWidth="1"/>
    <x:col min="5" max="5" width="18" hidden="0" customWidth="1"/>
    <x:col min="6" max="6" width="18" hidden="0" customWidth="1"/>
    <x:col min="7" max="7" width="30" hidden="0" customWidth="1"/>
    <x:col min="8" max="8" width="20" hidden="0" customWidth="1"/>
  </x:cols>
  <x:sheetData>
    <x:row r="1" ht="34" customHeight="1">
      <x:c r="A1" s="4" t="str">
        <x:v>06｜资本充足率：加权法基准与口径干扰项</x:v>
      </x:c>
      <x:c r="B1" s="4" t="str">
        <x:v>06｜资本充足率：加权法基准与口径干扰项</x:v>
      </x:c>
      <x:c r="C1" s="4" t="str">
        <x:v>06｜资本充足率：加权法基准与口径干扰项</x:v>
      </x:c>
      <x:c r="D1" s="4" t="str">
        <x:v>06｜资本充足率：加权法基准与口径干扰项</x:v>
      </x:c>
      <x:c r="E1" s="4" t="str">
        <x:v>06｜资本充足率：加权法基准与口径干扰项</x:v>
      </x:c>
      <x:c r="F1" s="4" t="str">
        <x:v>06｜资本充足率：加权法基准与口径干扰项</x:v>
      </x:c>
      <x:c r="G1" s="4" t="str">
        <x:v>06｜资本充足率：加权法基准与口径干扰项</x:v>
      </x:c>
      <x:c r="H1" s="4" t="str">
        <x:v>06｜资本充足率：加权法基准与口径干扰项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15" t="str">
        <x:v>指标</x:v>
      </x:c>
      <x:c r="B3" s="15" t="str">
        <x:v>2023</x:v>
      </x:c>
      <x:c r="C3" s="15" t="str">
        <x:v>2024</x:v>
      </x:c>
      <x:c r="D3" s="15" t="str">
        <x:v>变化</x:v>
      </x:c>
      <x:c r="E3" s="15" t="str">
        <x:v>单位</x:v>
      </x:c>
      <x:c r="F3" s="15" t="str">
        <x:v>压力测试是否使用</x:v>
      </x:c>
      <x:c r="G3" s="15" t="str">
        <x:v>年报页码</x:v>
      </x:c>
      <x:c r="H3" s="15" t="str">
        <x:v>口径提示</x:v>
      </x:c>
    </x:row>
    <x:row r="4">
      <x:c r="A4" s="20" t="str">
        <x:v>核心一级资本净额</x:v>
      </x:c>
      <x:c r="B4" s="51" t="n">
        <x:v>907308</x:v>
      </x:c>
      <x:c r="C4" s="51" t="n">
        <x:v>1023048</x:v>
      </x:c>
      <x:c r="D4" s="51" t="n">
        <x:f>C4-B4</x:f>
        <x:v>115740</x:v>
      </x:c>
      <x:c r="E4" s="20" t="str">
        <x:v>百万元</x:v>
      </x:c>
      <x:c r="F4" s="20" t="str">
        <x:v>是：2024单点</x:v>
      </x:c>
      <x:c r="G4" s="20" t="str">
        <x:v>p40</x:v>
      </x:c>
      <x:c r="H4" s="20" t="str">
        <x:v>加权法</x:v>
      </x:c>
    </x:row>
    <x:row r="5">
      <x:c r="A5" s="20" t="str">
        <x:v>一级资本</x:v>
      </x:c>
      <x:c r="B5" s="51" t="n">
        <x:v>1057754</x:v>
      </x:c>
      <x:c r="C5" s="51" t="n">
        <x:v>1203494</x:v>
      </x:c>
      <x:c r="D5" s="51" t="n">
        <x:f>C5-B5</x:f>
        <x:v>145740</x:v>
      </x:c>
      <x:c r="E5" s="20" t="str">
        <x:v>百万元</x:v>
      </x:c>
      <x:c r="F5" s="20" t="str">
        <x:v>否</x:v>
      </x:c>
      <x:c r="G5" s="20" t="str">
        <x:v>p40</x:v>
      </x:c>
      <x:c r="H5" s="20" t="str">
        <x:v>加权法</x:v>
      </x:c>
    </x:row>
    <x:row r="6">
      <x:c r="A6" s="20" t="str">
        <x:v>资本净额</x:v>
      </x:c>
      <x:c r="B6" s="51" t="n">
        <x:v>1144901</x:v>
      </x:c>
      <x:c r="C6" s="51" t="n">
        <x:v>1293801</x:v>
      </x:c>
      <x:c r="D6" s="51" t="n">
        <x:f>C6-B6</x:f>
        <x:v>148900</x:v>
      </x:c>
      <x:c r="E6" s="20" t="str">
        <x:v>百万元</x:v>
      </x:c>
      <x:c r="F6" s="20" t="str">
        <x:v>否</x:v>
      </x:c>
      <x:c r="G6" s="20" t="str">
        <x:v>p40</x:v>
      </x:c>
      <x:c r="H6" s="20" t="str">
        <x:v>加权法</x:v>
      </x:c>
    </x:row>
    <x:row r="7">
      <x:c r="A7" s="20" t="str">
        <x:v>风险加权资产 RWA</x:v>
      </x:c>
      <x:c r="B7" s="51" t="n">
        <x:v>7652723</x:v>
      </x:c>
      <x:c r="C7" s="51" t="n">
        <x:v>8227390</x:v>
      </x:c>
      <x:c r="D7" s="51" t="n">
        <x:f>C7-B7</x:f>
        <x:v>574667</x:v>
      </x:c>
      <x:c r="E7" s="20" t="str">
        <x:v>百万元</x:v>
      </x:c>
      <x:c r="F7" s="20" t="str">
        <x:v>是：2024单点</x:v>
      </x:c>
      <x:c r="G7" s="20" t="str">
        <x:v>p40</x:v>
      </x:c>
      <x:c r="H7" s="20" t="str">
        <x:v>加权法</x:v>
      </x:c>
    </x:row>
    <x:row r="8">
      <x:c r="A8" s="20" t="str">
        <x:v>核心一级资本充足率</x:v>
      </x:c>
      <x:c r="B8" s="41" t="n">
        <x:v>0.1186</x:v>
      </x:c>
      <x:c r="C8" s="41" t="n">
        <x:v>0.1243</x:v>
      </x:c>
      <x:c r="D8" s="42" t="n">
        <x:f>(C8-B8)*10000</x:f>
        <x:v>56.999999999999964</x:v>
      </x:c>
      <x:c r="E8" s="20" t="str">
        <x:v>%</x:v>
      </x:c>
      <x:c r="F8" s="20" t="str">
        <x:v>是：2024单点</x:v>
      </x:c>
      <x:c r="G8" s="20" t="str">
        <x:v>p40</x:v>
      </x:c>
      <x:c r="H8" s="20" t="str">
        <x:v>加权法</x:v>
      </x:c>
    </x:row>
    <x:row r="9">
      <x:c r="A9" s="20" t="str">
        <x:v>一级资本充足率</x:v>
      </x:c>
      <x:c r="B9" s="41" t="n">
        <x:v>0.1382</x:v>
      </x:c>
      <x:c r="C9" s="41" t="n">
        <x:v>0.1463</x:v>
      </x:c>
      <x:c r="D9" s="42" t="n">
        <x:f>(C9-B9)*10000</x:f>
        <x:v>81.00000000000024</x:v>
      </x:c>
      <x:c r="E9" s="20" t="str">
        <x:v>%</x:v>
      </x:c>
      <x:c r="F9" s="20" t="str">
        <x:v>否</x:v>
      </x:c>
      <x:c r="G9" s="20" t="str">
        <x:v>p40</x:v>
      </x:c>
      <x:c r="H9" s="20" t="str">
        <x:v>加权法</x:v>
      </x:c>
    </x:row>
    <x:row r="10">
      <x:c r="A10" s="20" t="str">
        <x:v>资本充足率</x:v>
      </x:c>
      <x:c r="B10" s="41" t="n">
        <x:v>0.1496</x:v>
      </x:c>
      <x:c r="C10" s="41" t="n">
        <x:v>0.1573</x:v>
      </x:c>
      <x:c r="D10" s="42" t="n">
        <x:f>(C10-B10)*10000</x:f>
        <x:v>76.99999999999984</x:v>
      </x:c>
      <x:c r="E10" s="20" t="str">
        <x:v>%</x:v>
      </x:c>
      <x:c r="F10" s="20" t="str">
        <x:v>否</x:v>
      </x:c>
      <x:c r="G10" s="20" t="str">
        <x:v>p40</x:v>
      </x:c>
      <x:c r="H10" s="20" t="str">
        <x:v>加权法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 ht="24" customHeight="1">
      <x:c r="A12" s="27" t="str">
        <x:v>2024资本基准与案例管理底线</x:v>
      </x:c>
      <x:c r="B12" s="27" t="str">
        <x:v>2024资本基准与案例管理底线</x:v>
      </x:c>
      <x:c r="C12" s="27" t="str">
        <x:v>2024资本基准与案例管理底线</x:v>
      </x:c>
      <x:c r="D12" s="27" t="str">
        <x:v>2024资本基准与案例管理底线</x:v>
      </x:c>
      <x:c r="E12" s="27" t="str">
        <x:v>2024资本基准与案例管理底线</x:v>
      </x:c>
      <x:c r="F12" s="27" t="str">
        <x:v>2024资本基准与案例管理底线</x:v>
      </x:c>
      <x:c r="G12" s="27" t="str">
        <x:v>2024资本基准与案例管理底线</x:v>
      </x:c>
      <x:c r="H12" s="27" t="str">
        <x:v>2024资本基准与案例管理底线</x:v>
      </x:c>
    </x:row>
    <x:row r="13" ht="28" customHeight="1">
      <x:c r="A13" s="15" t="str">
        <x:v>指标</x:v>
      </x:c>
      <x:c r="B13" s="15" t="str">
        <x:v>数值</x:v>
      </x:c>
      <x:c r="C13" s="15" t="str">
        <x:v>单位</x:v>
      </x:c>
      <x:c r="D13" s="15" t="str">
        <x:v>公式/来源</x:v>
      </x:c>
      <x:c r="E13" s="15" t="str">
        <x:v>用于压力测试</x:v>
      </x:c>
      <x:c r="F13" s="15" t="str">
        <x:v>性质</x:v>
      </x:c>
      <x:c r="G13" s="15" t="str">
        <x:v>结论</x:v>
      </x:c>
      <x:c r="H13" s="15" t="str">
        <x:v>备注</x:v>
      </x:c>
    </x:row>
    <x:row r="14">
      <x:c r="A14" s="20" t="str">
        <x:v>加权法CET1率基准</x:v>
      </x:c>
      <x:c r="B14" s="41" t="n">
        <x:v>0.1243</x:v>
      </x:c>
      <x:c r="C14" s="20" t="str">
        <x:v>%</x:v>
      </x:c>
      <x:c r="D14" s="20" t="str">
        <x:v>年报p40</x:v>
      </x:c>
      <x:c r="E14" s="20" t="str">
        <x:v>是</x:v>
      </x:c>
      <x:c r="F14" s="20" t="str">
        <x:v>年报事实</x:v>
      </x:c>
      <x:c r="G14" s="20" t="str">
        <x:v>高于内部底线93bp</x:v>
      </x:c>
      <x:c r="H14" s="20" t="str">
        <x:v>2024单点</x:v>
      </x:c>
    </x:row>
    <x:row r="15">
      <x:c r="A15" s="23" t="str">
        <x:v>高级法CET1率</x:v>
      </x:c>
      <x:c r="B15" s="48" t="n">
        <x:v>0.1486</x:v>
      </x:c>
      <x:c r="C15" s="23" t="str">
        <x:v>%</x:v>
      </x:c>
      <x:c r="D15" s="23" t="str">
        <x:v>年报其他资本表</x:v>
      </x:c>
      <x:c r="E15" s="23" t="str">
        <x:v>否</x:v>
      </x:c>
      <x:c r="F15" s="23" t="str">
        <x:v>口径干扰项</x:v>
      </x:c>
      <x:c r="G15" s="23" t="str">
        <x:v>不得代入</x:v>
      </x:c>
      <x:c r="H15" s="23" t="str">
        <x:v>干扰项</x:v>
      </x:c>
    </x:row>
    <x:row r="16">
      <x:c r="A16" s="22" t="str">
        <x:v>内部CET1管理底线</x:v>
      </x:c>
      <x:c r="B16" s="53" t="n">
        <x:v>0.115</x:v>
      </x:c>
      <x:c r="C16" s="22" t="str">
        <x:v>%</x:v>
      </x:c>
      <x:c r="D16" s="22" t="str">
        <x:v>案例给定</x:v>
      </x:c>
      <x:c r="E16" s="22" t="str">
        <x:v>是</x:v>
      </x:c>
      <x:c r="F16" s="22" t="str">
        <x:v>案例假设</x:v>
      </x:c>
      <x:c r="G16" s="22" t="str">
        <x:v>用于边界判断</x:v>
      </x:c>
      <x:c r="H16" s="22" t="str">
        <x:v>非监管要求</x:v>
      </x:c>
    </x:row>
    <x:row r="17">
      <x:c r="A17" s="21" t="str">
        <x:v>基准CET1缓冲金额</x:v>
      </x:c>
      <x:c r="B17" s="54" t="n">
        <x:f>$C$4-$C$7*B16</x:f>
        <x:v>76898.1499999999</x:v>
      </x:c>
      <x:c r="C17" s="21" t="str">
        <x:v>百万元</x:v>
      </x:c>
      <x:c r="D17" s="21" t="str">
        <x:v>CET1资本-RWA×底线</x:v>
      </x:c>
      <x:c r="E17" s="21" t="str">
        <x:v>是</x:v>
      </x:c>
      <x:c r="F17" s="21" t="str">
        <x:v>分析派生</x:v>
      </x:c>
      <x:c r="G17" s="21" t="str">
        <x:v>约76,898百万元</x:v>
      </x:c>
      <x:c r="H17" s="21" t="str">
        <x:v>换算768.98亿元</x:v>
      </x:c>
    </x:row>
    <x:row r="18">
      <x:c r="A18" s="24" t="str">
        <x:v>2024资本新规提示</x:v>
      </x:c>
      <x:c r="B18" s="24"/>
      <x:c r="C18" s="24" t="str">
        <x:v>—</x:v>
      </x:c>
      <x:c r="D18" s="24" t="str">
        <x:v>年报p39注释</x:v>
      </x:c>
      <x:c r="E18" s="24" t="str">
        <x:v>解释用</x:v>
      </x:c>
      <x:c r="F18" s="24" t="str">
        <x:v>年报事实</x:v>
      </x:c>
      <x:c r="G18" s="24" t="str">
        <x:v>跨年上升不可全部归因经营改善</x:v>
      </x:c>
      <x:c r="H18" s="24" t="str">
        <x:v>必须披露</x:v>
      </x:c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 ht="30" customHeight="1">
      <x:c r="A20" s="30" t="str">
        <x:v>来源：招商银行2024年度报告 p39–40。2024实施新资本规则；本案例只使用2024加权法核心一级资本净额1,023,048百万元及RWA 8,227,390百万元。</x:v>
      </x:c>
      <x:c r="B20" s="30" t="str">
        <x:v>来源：招商银行2024年度报告 p39–40。2024实施新资本规则；本案例只使用2024加权法核心一级资本净额1,023,048百万元及RWA 8,227,390百万元。</x:v>
      </x:c>
      <x:c r="C20" s="30" t="str">
        <x:v>来源：招商银行2024年度报告 p39–40。2024实施新资本规则；本案例只使用2024加权法核心一级资本净额1,023,048百万元及RWA 8,227,390百万元。</x:v>
      </x:c>
      <x:c r="D20" s="30" t="str">
        <x:v>来源：招商银行2024年度报告 p39–40。2024实施新资本规则；本案例只使用2024加权法核心一级资本净额1,023,048百万元及RWA 8,227,390百万元。</x:v>
      </x:c>
      <x:c r="E20" s="30" t="str">
        <x:v>来源：招商银行2024年度报告 p39–40。2024实施新资本规则；本案例只使用2024加权法核心一级资本净额1,023,048百万元及RWA 8,227,390百万元。</x:v>
      </x:c>
      <x:c r="F20" s="30" t="str">
        <x:v>来源：招商银行2024年度报告 p39–40。2024实施新资本规则；本案例只使用2024加权法核心一级资本净额1,023,048百万元及RWA 8,227,390百万元。</x:v>
      </x:c>
      <x:c r="G20" s="30" t="str">
        <x:v>来源：招商银行2024年度报告 p39–40。2024实施新资本规则；本案例只使用2024加权法核心一级资本净额1,023,048百万元及RWA 8,227,390百万元。</x:v>
      </x:c>
      <x:c r="H20" s="30" t="str">
        <x:v>来源：招商银行2024年度报告 p39–40。2024实施新资本规则；本案例只使用2024加权法核心一级资本净额1,023,048百万元及RWA 8,227,390百万元。</x:v>
      </x:c>
    </x:row>
  </x:sheetData>
  <x:mergeCells>
    <x:mergeCell ref="A1:H1"/>
    <x:mergeCell ref="A12:H12"/>
    <x:mergeCell ref="A20:H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20" hidden="0" customWidth="1"/>
    <x:col min="7" max="7" width="20" hidden="0" customWidth="1"/>
    <x:col min="8" max="8" width="18" hidden="0" customWidth="1"/>
    <x:col min="9" max="9" width="34" hidden="0" customWidth="1"/>
  </x:cols>
  <x:sheetData>
    <x:row r="1" ht="34" customHeight="1">
      <x:c r="A1" s="4" t="str">
        <x:v>07｜双情景静态资本压力测试假设</x:v>
      </x:c>
      <x:c r="B1" s="4" t="str">
        <x:v>07｜双情景静态资本压力测试假设</x:v>
      </x:c>
      <x:c r="C1" s="4" t="str">
        <x:v>07｜双情景静态资本压力测试假设</x:v>
      </x:c>
      <x:c r="D1" s="4" t="str">
        <x:v>07｜双情景静态资本压力测试假设</x:v>
      </x:c>
      <x:c r="E1" s="4" t="str">
        <x:v>07｜双情景静态资本压力测试假设</x:v>
      </x:c>
      <x:c r="F1" s="4" t="str">
        <x:v>07｜双情景静态资本压力测试假设</x:v>
      </x:c>
      <x:c r="G1" s="4" t="str">
        <x:v>07｜双情景静态资本压力测试假设</x:v>
      </x:c>
      <x:c r="H1" s="4" t="str">
        <x:v>07｜双情景静态资本压力测试假设</x:v>
      </x:c>
      <x:c r="I1" s="4" t="str">
        <x:v>07｜双情景静态资本压力测试假设</x:v>
      </x:c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</x:row>
    <x:row r="3" ht="28" customHeight="1">
      <x:c r="A3" s="15" t="str">
        <x:v>参数</x:v>
      </x:c>
      <x:c r="B3" s="15" t="str">
        <x:v>基准/计划</x:v>
      </x:c>
      <x:c r="C3" s="15" t="str">
        <x:v>中度</x:v>
      </x:c>
      <x:c r="D3" s="15" t="str">
        <x:v>重度</x:v>
      </x:c>
      <x:c r="E3" s="15" t="str">
        <x:v>单位</x:v>
      </x:c>
      <x:c r="F3" s="15" t="str">
        <x:v>作用对象</x:v>
      </x:c>
      <x:c r="G3" s="15" t="str">
        <x:v>来源</x:v>
      </x:c>
      <x:c r="H3" s="15" t="str">
        <x:v>性质</x:v>
      </x:c>
      <x:c r="I3" s="15" t="str">
        <x:v>备注</x:v>
      </x:c>
    </x:row>
    <x:row r="4">
      <x:c r="A4" s="20" t="str">
        <x:v>2024平均生息资产</x:v>
      </x:c>
      <x:c r="B4" s="20" t="n">
        <x:v>10686141</x:v>
      </x:c>
      <x:c r="C4" s="20"/>
      <x:c r="D4" s="20"/>
      <x:c r="E4" s="20" t="str">
        <x:v>百万元</x:v>
      </x:c>
      <x:c r="F4" s="20" t="str">
        <x:v>NIM损失</x:v>
      </x:c>
      <x:c r="G4" s="20" t="str">
        <x:v>02_息差量价</x:v>
      </x:c>
      <x:c r="H4" s="20" t="str">
        <x:v>年报事实</x:v>
      </x:c>
      <x:c r="I4" s="20" t="str">
        <x:v>只用2024</x:v>
      </x:c>
    </x:row>
    <x:row r="5">
      <x:c r="A5" s="20" t="str">
        <x:v>2024客户贷款</x:v>
      </x:c>
      <x:c r="B5" s="20" t="n">
        <x:v>6888315</x:v>
      </x:c>
      <x:c r="C5" s="20"/>
      <x:c r="D5" s="20"/>
      <x:c r="E5" s="20" t="str">
        <x:v>百万元</x:v>
      </x:c>
      <x:c r="F5" s="20" t="str">
        <x:v>增长RWA</x:v>
      </x:c>
      <x:c r="G5" s="20" t="str">
        <x:v>04_产品风险</x:v>
      </x:c>
      <x:c r="H5" s="20" t="str">
        <x:v>年报事实</x:v>
      </x:c>
      <x:c r="I5" s="20" t="str">
        <x:v>含票据贴现</x:v>
      </x:c>
    </x:row>
    <x:row r="6">
      <x:c r="A6" s="20" t="str">
        <x:v>2024加权法CET1资本</x:v>
      </x:c>
      <x:c r="B6" s="20" t="n">
        <x:v>1023048</x:v>
      </x:c>
      <x:c r="C6" s="20"/>
      <x:c r="D6" s="20"/>
      <x:c r="E6" s="20" t="str">
        <x:v>百万元</x:v>
      </x:c>
      <x:c r="F6" s="20" t="str">
        <x:v>资本基准</x:v>
      </x:c>
      <x:c r="G6" s="20" t="str">
        <x:v>06_资本充足率</x:v>
      </x:c>
      <x:c r="H6" s="20" t="str">
        <x:v>年报事实</x:v>
      </x:c>
      <x:c r="I6" s="20" t="str">
        <x:v>不得用高级法</x:v>
      </x:c>
    </x:row>
    <x:row r="7">
      <x:c r="A7" s="20" t="str">
        <x:v>2024加权法RWA</x:v>
      </x:c>
      <x:c r="B7" s="20" t="n">
        <x:v>8227390</x:v>
      </x:c>
      <x:c r="C7" s="20"/>
      <x:c r="D7" s="20"/>
      <x:c r="E7" s="20" t="str">
        <x:v>百万元</x:v>
      </x:c>
      <x:c r="F7" s="20" t="str">
        <x:v>RWA基准</x:v>
      </x:c>
      <x:c r="G7" s="20" t="str">
        <x:v>06_资本充足率</x:v>
      </x:c>
      <x:c r="H7" s="20" t="str">
        <x:v>年报事实</x:v>
      </x:c>
      <x:c r="I7" s="20" t="str">
        <x:v>不得用高级法</x:v>
      </x:c>
    </x:row>
    <x:row r="8">
      <x:c r="A8" s="20" t="str">
        <x:v>计划贷款增速</x:v>
      </x:c>
      <x:c r="B8" s="41" t="n">
        <x:v>0.08</x:v>
      </x:c>
      <x:c r="C8" s="41" t="n">
        <x:v>0.08</x:v>
      </x:c>
      <x:c r="D8" s="41" t="n">
        <x:v>0.08</x:v>
      </x:c>
      <x:c r="E8" s="20" t="str">
        <x:v>%</x:v>
      </x:c>
      <x:c r="F8" s="20" t="str">
        <x:v>新增贷款RWA</x:v>
      </x:c>
      <x:c r="G8" s="20" t="str">
        <x:v>案例给定</x:v>
      </x:c>
      <x:c r="H8" s="20" t="str">
        <x:v>案例假设</x:v>
      </x:c>
      <x:c r="I8" s="20" t="str">
        <x:v>比较最大增速</x:v>
      </x:c>
    </x:row>
    <x:row r="9">
      <x:c r="A9" s="22" t="str">
        <x:v>新增贷款RWA密度</x:v>
      </x:c>
      <x:c r="B9" s="53" t="n">
        <x:v>0.65</x:v>
      </x:c>
      <x:c r="C9" s="53" t="n">
        <x:v>0.65</x:v>
      </x:c>
      <x:c r="D9" s="53" t="n">
        <x:v>0.65</x:v>
      </x:c>
      <x:c r="E9" s="22" t="str">
        <x:v>%</x:v>
      </x:c>
      <x:c r="F9" s="22" t="str">
        <x:v>新增贷款RWA</x:v>
      </x:c>
      <x:c r="G9" s="22" t="str">
        <x:v>案例给定</x:v>
      </x:c>
      <x:c r="H9" s="22" t="str">
        <x:v>案例假设</x:v>
      </x:c>
      <x:c r="I9" s="22" t="str">
        <x:v>贷款增量×65%</x:v>
      </x:c>
    </x:row>
    <x:row r="10">
      <x:c r="A10" s="22" t="str">
        <x:v>新增不良RWA系数</x:v>
      </x:c>
      <x:c r="B10" s="55" t="n">
        <x:v>1.5</x:v>
      </x:c>
      <x:c r="C10" s="55" t="n">
        <x:v>1.5</x:v>
      </x:c>
      <x:c r="D10" s="55" t="n">
        <x:v>1.5</x:v>
      </x:c>
      <x:c r="E10" s="22" t="str">
        <x:v>倍</x:v>
      </x:c>
      <x:c r="F10" s="22" t="str">
        <x:v>新增不良RWA</x:v>
      </x:c>
      <x:c r="G10" s="22" t="str">
        <x:v>案例给定</x:v>
      </x:c>
      <x:c r="H10" s="22" t="str">
        <x:v>案例假设</x:v>
      </x:c>
      <x:c r="I10" s="22" t="str">
        <x:v>新增不良×150%</x:v>
      </x:c>
    </x:row>
    <x:row r="11">
      <x:c r="A11" s="22" t="str">
        <x:v>税盾</x:v>
      </x:c>
      <x:c r="B11" s="53" t="n">
        <x:v>0.2</x:v>
      </x:c>
      <x:c r="C11" s="53" t="n">
        <x:v>0.2</x:v>
      </x:c>
      <x:c r="D11" s="53" t="n">
        <x:v>0.2</x:v>
      </x:c>
      <x:c r="E11" s="22" t="str">
        <x:v>%</x:v>
      </x:c>
      <x:c r="F11" s="22" t="str">
        <x:v>税后资本损失</x:v>
      </x:c>
      <x:c r="G11" s="22" t="str">
        <x:v>案例给定</x:v>
      </x:c>
      <x:c r="H11" s="22" t="str">
        <x:v>案例假设</x:v>
      </x:c>
      <x:c r="I11" s="22" t="str">
        <x:v>亏损不另确认税收收益</x:v>
      </x:c>
    </x:row>
    <x:row r="12">
      <x:c r="A12" s="22" t="str">
        <x:v>内部CET1管理底线</x:v>
      </x:c>
      <x:c r="B12" s="53" t="n">
        <x:v>0.115</x:v>
      </x:c>
      <x:c r="C12" s="53" t="n">
        <x:v>0.115</x:v>
      </x:c>
      <x:c r="D12" s="53" t="n">
        <x:v>0.115</x:v>
      </x:c>
      <x:c r="E12" s="22" t="str">
        <x:v>%</x:v>
      </x:c>
      <x:c r="F12" s="22" t="str">
        <x:v>资本约束</x:v>
      </x:c>
      <x:c r="G12" s="22" t="str">
        <x:v>案例给定</x:v>
      </x:c>
      <x:c r="H12" s="22" t="str">
        <x:v>案例假设</x:v>
      </x:c>
      <x:c r="I12" s="22" t="str">
        <x:v>不是监管要求</x:v>
      </x:c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</x:row>
    <x:row r="14" ht="24" customHeight="1">
      <x:c r="A14" s="58" t="str">
        <x:v>情景冲击参数（均为案例假设）</x:v>
      </x:c>
      <x:c r="B14" s="58" t="str">
        <x:v>情景冲击参数（均为案例假设）</x:v>
      </x:c>
      <x:c r="C14" s="58" t="str">
        <x:v>情景冲击参数（均为案例假设）</x:v>
      </x:c>
      <x:c r="D14" s="58" t="str">
        <x:v>情景冲击参数（均为案例假设）</x:v>
      </x:c>
      <x:c r="E14" s="58" t="str">
        <x:v>情景冲击参数（均为案例假设）</x:v>
      </x:c>
      <x:c r="F14" s="58" t="str">
        <x:v>情景冲击参数（均为案例假设）</x:v>
      </x:c>
      <x:c r="G14" s="58" t="str">
        <x:v>情景冲击参数（均为案例假设）</x:v>
      </x:c>
      <x:c r="H14" s="58" t="str">
        <x:v>情景冲击参数（均为案例假设）</x:v>
      </x:c>
      <x:c r="I14" s="58" t="str">
        <x:v>情景冲击参数（均为案例假设）</x:v>
      </x:c>
    </x:row>
    <x:row r="15" ht="28" customHeight="1">
      <x:c r="A15" s="15" t="str">
        <x:v>冲击项目</x:v>
      </x:c>
      <x:c r="B15" s="15" t="str">
        <x:v>基准余额</x:v>
      </x:c>
      <x:c r="C15" s="15" t="str">
        <x:v>中度冲击</x:v>
      </x:c>
      <x:c r="D15" s="15" t="str">
        <x:v>重度冲击</x:v>
      </x:c>
      <x:c r="E15" s="15" t="str">
        <x:v>单位</x:v>
      </x:c>
      <x:c r="F15" s="15" t="str">
        <x:v>中度附加参数</x:v>
      </x:c>
      <x:c r="G15" s="15" t="str">
        <x:v>重度附加参数</x:v>
      </x:c>
      <x:c r="H15" s="15" t="str">
        <x:v>来源</x:v>
      </x:c>
      <x:c r="I15" s="15" t="str">
        <x:v>备注</x:v>
      </x:c>
    </x:row>
    <x:row r="16">
      <x:c r="A16" s="22" t="str">
        <x:v>NIM</x:v>
      </x:c>
      <x:c r="B16" s="22" t="n">
        <x:v>10686141</x:v>
      </x:c>
      <x:c r="C16" s="22" t="n">
        <x:v>-10</x:v>
      </x:c>
      <x:c r="D16" s="22" t="n">
        <x:v>-20</x:v>
      </x:c>
      <x:c r="E16" s="22" t="str">
        <x:v>bp</x:v>
      </x:c>
      <x:c r="F16" s="22"/>
      <x:c r="G16" s="22"/>
      <x:c r="H16" s="22" t="str">
        <x:v>案例给定</x:v>
      </x:c>
      <x:c r="I16" s="22" t="str">
        <x:v>损失=平均生息资产×冲击绝对值/10000</x:v>
      </x:c>
    </x:row>
    <x:row r="17">
      <x:c r="A17" s="22" t="str">
        <x:v>对公贷款不良率</x:v>
      </x:c>
      <x:c r="B17" s="22" t="n">
        <x:v>2863740</x:v>
      </x:c>
      <x:c r="C17" s="22" t="n">
        <x:v>50</x:v>
      </x:c>
      <x:c r="D17" s="22" t="n">
        <x:v>100</x:v>
      </x:c>
      <x:c r="E17" s="22" t="str">
        <x:v>bp</x:v>
      </x:c>
      <x:c r="F17" s="22"/>
      <x:c r="G17" s="22"/>
      <x:c r="H17" s="22" t="str">
        <x:v>案例给定</x:v>
      </x:c>
      <x:c r="I17" s="22" t="str">
        <x:v>余额来自p33</x:v>
      </x:c>
    </x:row>
    <x:row r="18">
      <x:c r="A18" s="22" t="str">
        <x:v>小微贷款不良率</x:v>
      </x:c>
      <x:c r="B18" s="22" t="n">
        <x:v>825443</x:v>
      </x:c>
      <x:c r="C18" s="22" t="n">
        <x:v>80</x:v>
      </x:c>
      <x:c r="D18" s="22" t="n">
        <x:v>160</x:v>
      </x:c>
      <x:c r="E18" s="22" t="str">
        <x:v>bp</x:v>
      </x:c>
      <x:c r="F18" s="22"/>
      <x:c r="G18" s="22"/>
      <x:c r="H18" s="22" t="str">
        <x:v>案例给定</x:v>
      </x:c>
      <x:c r="I18" s="22" t="str">
        <x:v>余额来自p33</x:v>
      </x:c>
    </x:row>
    <x:row r="19">
      <x:c r="A19" s="22" t="str">
        <x:v>住房按揭不良率</x:v>
      </x:c>
      <x:c r="B19" s="22" t="n">
        <x:v>1417450</x:v>
      </x:c>
      <x:c r="C19" s="22" t="n">
        <x:v>20</x:v>
      </x:c>
      <x:c r="D19" s="22" t="n">
        <x:v>40</x:v>
      </x:c>
      <x:c r="E19" s="22" t="str">
        <x:v>bp</x:v>
      </x:c>
      <x:c r="F19" s="22"/>
      <x:c r="G19" s="22"/>
      <x:c r="H19" s="22" t="str">
        <x:v>案例给定</x:v>
      </x:c>
      <x:c r="I19" s="22" t="str">
        <x:v>余额来自p33</x:v>
      </x:c>
    </x:row>
    <x:row r="20">
      <x:c r="A20" s="22" t="str">
        <x:v>信用卡不良率</x:v>
      </x:c>
      <x:c r="B20" s="22" t="n">
        <x:v>947843</x:v>
      </x:c>
      <x:c r="C20" s="22" t="n">
        <x:v>60</x:v>
      </x:c>
      <x:c r="D20" s="22" t="n">
        <x:v>120</x:v>
      </x:c>
      <x:c r="E20" s="22" t="str">
        <x:v>bp</x:v>
      </x:c>
      <x:c r="F20" s="22"/>
      <x:c r="G20" s="22"/>
      <x:c r="H20" s="22" t="str">
        <x:v>案例给定</x:v>
      </x:c>
      <x:c r="I20" s="22" t="str">
        <x:v>余额来自p33</x:v>
      </x:c>
    </x:row>
    <x:row r="21">
      <x:c r="A21" s="22" t="str">
        <x:v>消费贷款不良率</x:v>
      </x:c>
      <x:c r="B21" s="22" t="n">
        <x:v>396161</x:v>
      </x:c>
      <x:c r="C21" s="22" t="n">
        <x:v>40</x:v>
      </x:c>
      <x:c r="D21" s="22" t="n">
        <x:v>80</x:v>
      </x:c>
      <x:c r="E21" s="22" t="str">
        <x:v>bp</x:v>
      </x:c>
      <x:c r="F21" s="22"/>
      <x:c r="G21" s="22"/>
      <x:c r="H21" s="22" t="str">
        <x:v>案例给定</x:v>
      </x:c>
      <x:c r="I21" s="22" t="str">
        <x:v>余额来自p33</x:v>
      </x:c>
    </x:row>
    <x:row r="22">
      <x:c r="A22" s="22" t="str">
        <x:v>其他零售不良率</x:v>
      </x:c>
      <x:c r="B22" s="22" t="n">
        <x:v>57728</x:v>
      </x:c>
      <x:c r="C22" s="22" t="n">
        <x:v>50</x:v>
      </x:c>
      <x:c r="D22" s="22" t="n">
        <x:v>100</x:v>
      </x:c>
      <x:c r="E22" s="22" t="str">
        <x:v>bp</x:v>
      </x:c>
      <x:c r="F22" s="22"/>
      <x:c r="G22" s="22"/>
      <x:c r="H22" s="22" t="str">
        <x:v>案例给定</x:v>
      </x:c>
      <x:c r="I22" s="22" t="str">
        <x:v>余额来自p33</x:v>
      </x:c>
    </x:row>
    <x:row r="23">
      <x:c r="A23" s="22" t="str">
        <x:v>新增不良拨备率</x:v>
      </x:c>
      <x:c r="B23" s="22"/>
      <x:c r="C23" s="22"/>
      <x:c r="D23" s="22"/>
      <x:c r="E23" s="22" t="str">
        <x:v>%</x:v>
      </x:c>
      <x:c r="F23" s="53" t="n">
        <x:v>0.7</x:v>
      </x:c>
      <x:c r="G23" s="53" t="n">
        <x:v>0.8</x:v>
      </x:c>
      <x:c r="H23" s="22" t="str">
        <x:v>案例给定</x:v>
      </x:c>
      <x:c r="I23" s="22" t="str">
        <x:v>中度70%、重度80%</x:v>
      </x:c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</x:row>
    <x:row r="25" ht="24" customHeight="1">
      <x:c r="A25" s="27" t="str">
        <x:v>模型必须自行计算的输出字段（本附件不提供答案）</x:v>
      </x:c>
      <x:c r="B25" s="27" t="str">
        <x:v>模型必须自行计算的输出字段（本附件不提供答案）</x:v>
      </x:c>
      <x:c r="C25" s="27" t="str">
        <x:v>模型必须自行计算的输出字段（本附件不提供答案）</x:v>
      </x:c>
      <x:c r="D25" s="27" t="str">
        <x:v>模型必须自行计算的输出字段（本附件不提供答案）</x:v>
      </x:c>
      <x:c r="E25" s="27" t="str">
        <x:v>模型必须自行计算的输出字段（本附件不提供答案）</x:v>
      </x:c>
      <x:c r="F25" s="27" t="str">
        <x:v>模型必须自行计算的输出字段（本附件不提供答案）</x:v>
      </x:c>
      <x:c r="G25" s="27" t="str">
        <x:v>模型必须自行计算的输出字段（本附件不提供答案）</x:v>
      </x:c>
      <x:c r="H25" s="27" t="str">
        <x:v>模型必须自行计算的输出字段（本附件不提供答案）</x:v>
      </x:c>
      <x:c r="I25" s="27" t="str">
        <x:v>模型必须自行计算的输出字段（本附件不提供答案）</x:v>
      </x:c>
    </x:row>
    <x:row r="26" ht="28" customHeight="1">
      <x:c r="A26" s="15" t="str">
        <x:v>顺序</x:v>
      </x:c>
      <x:c r="B26" s="15" t="str">
        <x:v>输出</x:v>
      </x:c>
      <x:c r="C26" s="15" t="str">
        <x:v>核心公式提示</x:v>
      </x:c>
      <x:c r="D26" s="15" t="str">
        <x:v>中度</x:v>
      </x:c>
      <x:c r="E26" s="15" t="str">
        <x:v>重度</x:v>
      </x:c>
      <x:c r="F26" s="15" t="str">
        <x:v>单位</x:v>
      </x:c>
      <x:c r="G26" s="15" t="str">
        <x:v>展示精度</x:v>
      </x:c>
      <x:c r="H26" s="15" t="str">
        <x:v>判断对象</x:v>
      </x:c>
      <x:c r="I26" s="15" t="str">
        <x:v>备注</x:v>
      </x:c>
    </x:row>
    <x:row r="27">
      <x:c r="A27" s="21" t="n">
        <x:v>1</x:v>
      </x:c>
      <x:c r="B27" s="21" t="str">
        <x:v>新增不良</x:v>
      </x:c>
      <x:c r="C27" s="21" t="str">
        <x:v>Σ(产品余额×不良率冲击bp/10000)</x:v>
      </x:c>
      <x:c r="D27" s="21"/>
      <x:c r="E27" s="21"/>
      <x:c r="F27" s="21" t="str">
        <x:v>百万元</x:v>
      </x:c>
      <x:c r="G27" s="21" t="str">
        <x:v>亿元2位</x:v>
      </x:c>
      <x:c r="H27" s="21" t="str">
        <x:v>信用风险</x:v>
      </x:c>
      <x:c r="I27" s="21" t="str">
        <x:v>使用未舍入值</x:v>
      </x:c>
    </x:row>
    <x:row r="28">
      <x:c r="A28" s="21" t="n">
        <x:v>2</x:v>
      </x:c>
      <x:c r="B28" s="21" t="str">
        <x:v>NIM税前损失</x:v>
      </x:c>
      <x:c r="C28" s="21" t="str">
        <x:v>平均生息资产×|NIM冲击|/10000</x:v>
      </x:c>
      <x:c r="D28" s="21"/>
      <x:c r="E28" s="21"/>
      <x:c r="F28" s="21" t="str">
        <x:v>百万元</x:v>
      </x:c>
      <x:c r="G28" s="21" t="str">
        <x:v>亿元2位</x:v>
      </x:c>
      <x:c r="H28" s="21" t="str">
        <x:v>盈利</x:v>
      </x:c>
      <x:c r="I28" s="21" t="str">
        <x:v>冲击为负但损失展示正数</x:v>
      </x:c>
    </x:row>
    <x:row r="29">
      <x:c r="A29" s="21" t="n">
        <x:v>3</x:v>
      </x:c>
      <x:c r="B29" s="21" t="str">
        <x:v>新增拨备</x:v>
      </x:c>
      <x:c r="C29" s="21" t="str">
        <x:v>新增不良×拨备率</x:v>
      </x:c>
      <x:c r="D29" s="21"/>
      <x:c r="E29" s="21"/>
      <x:c r="F29" s="21" t="str">
        <x:v>百万元</x:v>
      </x:c>
      <x:c r="G29" s="21" t="str">
        <x:v>亿元2位</x:v>
      </x:c>
      <x:c r="H29" s="21" t="str">
        <x:v>信用成本</x:v>
      </x:c>
      <x:c r="I29" s="21" t="str">
        <x:v>场景拨备率不同</x:v>
      </x:c>
    </x:row>
    <x:row r="30">
      <x:c r="A30" s="21" t="n">
        <x:v>4</x:v>
      </x:c>
      <x:c r="B30" s="21" t="str">
        <x:v>压力后CET1资本</x:v>
      </x:c>
      <x:c r="C30" s="21" t="str">
        <x:v>基准CET1-(NIM损失+新增拨备)×(1-税盾)</x:v>
      </x:c>
      <x:c r="D30" s="21"/>
      <x:c r="E30" s="21"/>
      <x:c r="F30" s="21" t="str">
        <x:v>百万元</x:v>
      </x:c>
      <x:c r="G30" s="21" t="str">
        <x:v>亿元2位</x:v>
      </x:c>
      <x:c r="H30" s="21" t="str">
        <x:v>资本</x:v>
      </x:c>
      <x:c r="I30" s="21" t="str">
        <x:v>使用加权法基准</x:v>
      </x:c>
    </x:row>
    <x:row r="31">
      <x:c r="A31" s="21" t="n">
        <x:v>5</x:v>
      </x:c>
      <x:c r="B31" s="21" t="str">
        <x:v>压力后RWA</x:v>
      </x:c>
      <x:c r="C31" s="21" t="str">
        <x:v>基准RWA+贷款×8%×65%+新增不良×150%</x:v>
      </x:c>
      <x:c r="D31" s="21"/>
      <x:c r="E31" s="21"/>
      <x:c r="F31" s="21" t="str">
        <x:v>百万元</x:v>
      </x:c>
      <x:c r="G31" s="21" t="str">
        <x:v>亿元2位</x:v>
      </x:c>
      <x:c r="H31" s="21" t="str">
        <x:v>资本</x:v>
      </x:c>
      <x:c r="I31" s="21" t="str">
        <x:v>两类增量RWA</x:v>
      </x:c>
    </x:row>
    <x:row r="32">
      <x:c r="A32" s="21" t="n">
        <x:v>6</x:v>
      </x:c>
      <x:c r="B32" s="21" t="str">
        <x:v>压力后CET1率/最大增速</x:v>
      </x:c>
      <x:c r="C32" s="21" t="str">
        <x:v>见A02公式</x:v>
      </x:c>
      <x:c r="D32" s="21"/>
      <x:c r="E32" s="21"/>
      <x:c r="F32" s="21" t="str">
        <x:v>%</x:v>
      </x:c>
      <x:c r="G32" s="21" t="str">
        <x:v>2位</x:v>
      </x:c>
      <x:c r="H32" s="21" t="str">
        <x:v>是否守住11.50%</x:v>
      </x:c>
      <x:c r="I32" s="21" t="str">
        <x:v>输出缺口bp</x:v>
      </x:c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</x:row>
    <x:row r="34" ht="30" customHeight="1">
      <x:c r="A34" s="30" t="str">
        <x:v>蓝色=年报事实；橙色=案例假设；绿色=待模型计算。最终决策必须同时比较8%计划、11.50%底线和最大可承受贷款增速。</x:v>
      </x:c>
      <x:c r="B34" s="30" t="str">
        <x:v>蓝色=年报事实；橙色=案例假设；绿色=待模型计算。最终决策必须同时比较8%计划、11.50%底线和最大可承受贷款增速。</x:v>
      </x:c>
      <x:c r="C34" s="30" t="str">
        <x:v>蓝色=年报事实；橙色=案例假设；绿色=待模型计算。最终决策必须同时比较8%计划、11.50%底线和最大可承受贷款增速。</x:v>
      </x:c>
      <x:c r="D34" s="30" t="str">
        <x:v>蓝色=年报事实；橙色=案例假设；绿色=待模型计算。最终决策必须同时比较8%计划、11.50%底线和最大可承受贷款增速。</x:v>
      </x:c>
      <x:c r="E34" s="30" t="str">
        <x:v>蓝色=年报事实；橙色=案例假设；绿色=待模型计算。最终决策必须同时比较8%计划、11.50%底线和最大可承受贷款增速。</x:v>
      </x:c>
      <x:c r="F34" s="30" t="str">
        <x:v>蓝色=年报事实；橙色=案例假设；绿色=待模型计算。最终决策必须同时比较8%计划、11.50%底线和最大可承受贷款增速。</x:v>
      </x:c>
      <x:c r="G34" s="30" t="str">
        <x:v>蓝色=年报事实；橙色=案例假设；绿色=待模型计算。最终决策必须同时比较8%计划、11.50%底线和最大可承受贷款增速。</x:v>
      </x:c>
      <x:c r="H34" s="30" t="str">
        <x:v>蓝色=年报事实；橙色=案例假设；绿色=待模型计算。最终决策必须同时比较8%计划、11.50%底线和最大可承受贷款增速。</x:v>
      </x:c>
      <x:c r="I34" s="30" t="str">
        <x:v>蓝色=年报事实；橙色=案例假设；绿色=待模型计算。最终决策必须同时比较8%计划、11.50%底线和最大可承受贷款增速。</x:v>
      </x:c>
    </x:row>
  </x:sheetData>
  <x:mergeCells>
    <x:mergeCell ref="A1:I1"/>
    <x:mergeCell ref="A14:I14"/>
    <x:mergeCell ref="A25:I25"/>
    <x:mergeCell ref="A34:I3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7" hidden="0" customWidth="1"/>
    <x:col min="4" max="4" width="30" hidden="0" customWidth="1"/>
    <x:col min="5" max="5" width="34" hidden="0" customWidth="1"/>
    <x:col min="6" max="6" width="38" hidden="0" customWidth="1"/>
    <x:col min="7" max="7" width="18" hidden="0" customWidth="1"/>
    <x:col min="8" max="8" width="34" hidden="0" customWidth="1"/>
  </x:cols>
  <x:sheetData>
    <x:row r="1" ht="34" customHeight="1">
      <x:c r="A1" s="4" t="str">
        <x:v>08｜8%贷款计划的组合筛选输入</x:v>
      </x:c>
      <x:c r="B1" s="4" t="str">
        <x:v>08｜8%贷款计划的组合筛选输入</x:v>
      </x:c>
      <x:c r="C1" s="4" t="str">
        <x:v>08｜8%贷款计划的组合筛选输入</x:v>
      </x:c>
      <x:c r="D1" s="4" t="str">
        <x:v>08｜8%贷款计划的组合筛选输入</x:v>
      </x:c>
      <x:c r="E1" s="4" t="str">
        <x:v>08｜8%贷款计划的组合筛选输入</x:v>
      </x:c>
      <x:c r="F1" s="4" t="str">
        <x:v>08｜8%贷款计划的组合筛选输入</x:v>
      </x:c>
      <x:c r="G1" s="4" t="str">
        <x:v>08｜8%贷款计划的组合筛选输入</x:v>
      </x:c>
      <x:c r="H1" s="4" t="str">
        <x:v>08｜8%贷款计划的组合筛选输入</x:v>
      </x:c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8" customHeight="1">
      <x:c r="A3" s="15" t="str">
        <x:v>产品</x:v>
      </x:c>
      <x:c r="B3" s="15" t="str">
        <x:v>2024贷款余额</x:v>
      </x:c>
      <x:c r="C3" s="15" t="str">
        <x:v>新增贷款RWA密度</x:v>
      </x:c>
      <x:c r="D3" s="15" t="str">
        <x:v>新增贷款年化NII率</x:v>
      </x:c>
      <x:c r="E3" s="15" t="str">
        <x:v>新增贷款预期损失率</x:v>
      </x:c>
      <x:c r="F3" s="15" t="str">
        <x:v>产品增速上限</x:v>
      </x:c>
      <x:c r="G3" s="15" t="str">
        <x:v>性质</x:v>
      </x:c>
      <x:c r="H3" s="15" t="str">
        <x:v>说明</x:v>
      </x:c>
    </x:row>
    <x:row r="4">
      <x:c r="A4" s="20" t="str">
        <x:v>对公贷款</x:v>
      </x:c>
      <x:c r="B4" s="43" t="n">
        <x:v>2863740</x:v>
      </x:c>
      <x:c r="C4" s="53" t="n">
        <x:v>0.35</x:v>
      </x:c>
      <x:c r="D4" s="53" t="n">
        <x:v>0.016</x:v>
      </x:c>
      <x:c r="E4" s="53" t="n">
        <x:v>0.003</x:v>
      </x:c>
      <x:c r="F4" s="53" t="n">
        <x:v>0.08</x:v>
      </x:c>
      <x:c r="G4" s="22" t="str">
        <x:v>案例假设</x:v>
      </x:c>
      <x:c r="H4" s="22" t="str">
        <x:v>余额为年报事实；其余为组合筛选假设</x:v>
      </x:c>
    </x:row>
    <x:row r="5">
      <x:c r="A5" s="20" t="str">
        <x:v>小微贷款</x:v>
      </x:c>
      <x:c r="B5" s="43" t="n">
        <x:v>825443</x:v>
      </x:c>
      <x:c r="C5" s="53" t="n">
        <x:v>0.5</x:v>
      </x:c>
      <x:c r="D5" s="53" t="n">
        <x:v>0.024</x:v>
      </x:c>
      <x:c r="E5" s="53" t="n">
        <x:v>0.008</x:v>
      </x:c>
      <x:c r="F5" s="53" t="n">
        <x:v>0.12</x:v>
      </x:c>
      <x:c r="G5" s="22" t="str">
        <x:v>案例假设</x:v>
      </x:c>
      <x:c r="H5" s="22" t="str">
        <x:v>余额为年报事实；其余为组合筛选假设</x:v>
      </x:c>
    </x:row>
    <x:row r="6">
      <x:c r="A6" s="20" t="str">
        <x:v>住房按揭</x:v>
      </x:c>
      <x:c r="B6" s="43" t="n">
        <x:v>1417450</x:v>
      </x:c>
      <x:c r="C6" s="53" t="n">
        <x:v>0.09</x:v>
      </x:c>
      <x:c r="D6" s="53" t="n">
        <x:v>0.01</x:v>
      </x:c>
      <x:c r="E6" s="53" t="n">
        <x:v>0.0015</x:v>
      </x:c>
      <x:c r="F6" s="53" t="n">
        <x:v>0.2</x:v>
      </x:c>
      <x:c r="G6" s="22" t="str">
        <x:v>案例假设</x:v>
      </x:c>
      <x:c r="H6" s="22" t="str">
        <x:v>余额为年报事实；其余为组合筛选假设</x:v>
      </x:c>
    </x:row>
    <x:row r="7">
      <x:c r="A7" s="20" t="str">
        <x:v>信用卡</x:v>
      </x:c>
      <x:c r="B7" s="43" t="n">
        <x:v>947843</x:v>
      </x:c>
      <x:c r="C7" s="53" t="n">
        <x:v>0.65</x:v>
      </x:c>
      <x:c r="D7" s="53" t="n">
        <x:v>0.05</x:v>
      </x:c>
      <x:c r="E7" s="53" t="n">
        <x:v>0.022</x:v>
      </x:c>
      <x:c r="F7" s="53" t="n">
        <x:v>0.05</x:v>
      </x:c>
      <x:c r="G7" s="22" t="str">
        <x:v>案例假设</x:v>
      </x:c>
      <x:c r="H7" s="22" t="str">
        <x:v>余额为年报事实；其余为组合筛选假设</x:v>
      </x:c>
    </x:row>
    <x:row r="8">
      <x:c r="A8" s="20" t="str">
        <x:v>消费贷款</x:v>
      </x:c>
      <x:c r="B8" s="43" t="n">
        <x:v>396161</x:v>
      </x:c>
      <x:c r="C8" s="53" t="n">
        <x:v>0.6</x:v>
      </x:c>
      <x:c r="D8" s="53" t="n">
        <x:v>0.038</x:v>
      </x:c>
      <x:c r="E8" s="53" t="n">
        <x:v>0.013</x:v>
      </x:c>
      <x:c r="F8" s="53" t="n">
        <x:v>0.06</x:v>
      </x:c>
      <x:c r="G8" s="22" t="str">
        <x:v>案例假设</x:v>
      </x:c>
      <x:c r="H8" s="22" t="str">
        <x:v>余额为年报事实；其余为组合筛选假设</x:v>
      </x:c>
    </x:row>
    <x:row r="9">
      <x:c r="A9" s="20" t="str">
        <x:v>其他零售</x:v>
      </x:c>
      <x:c r="B9" s="43" t="n">
        <x:v>57728</x:v>
      </x:c>
      <x:c r="C9" s="53" t="n">
        <x:v>0.55</x:v>
      </x:c>
      <x:c r="D9" s="53" t="n">
        <x:v>0.03</x:v>
      </x:c>
      <x:c r="E9" s="53" t="n">
        <x:v>0.01</x:v>
      </x:c>
      <x:c r="F9" s="53" t="n">
        <x:v>0.1</x:v>
      </x:c>
      <x:c r="G9" s="22" t="str">
        <x:v>案例假设</x:v>
      </x:c>
      <x:c r="H9" s="22" t="str">
        <x:v>余额为年报事实；其余为组合筛选假设</x:v>
      </x:c>
    </x:row>
    <x:row r="10">
      <x:c r="A10" s="20" t="str">
        <x:v>票据贴现</x:v>
      </x:c>
      <x:c r="B10" s="43" t="n">
        <x:v>379950</x:v>
      </x:c>
      <x:c r="C10" s="53" t="n">
        <x:v>0.05</x:v>
      </x:c>
      <x:c r="D10" s="53" t="n">
        <x:v>0.006</x:v>
      </x:c>
      <x:c r="E10" s="53" t="n">
        <x:v>0.0005</x:v>
      </x:c>
      <x:c r="F10" s="53" t="n">
        <x:v>0.2</x:v>
      </x:c>
      <x:c r="G10" s="22" t="str">
        <x:v>案例假设</x:v>
      </x:c>
      <x:c r="H10" s="22" t="str">
        <x:v>余额为年报事实；票据不参与不良冲击，但参与新增贷款组合</x:v>
      </x:c>
    </x:row>
    <x:row r="11">
      <x:c r="A11" s="20" t="str">
        <x:v>合计</x:v>
      </x:c>
      <x:c r="B11" s="43" t="n">
        <x:v>6888315</x:v>
      </x:c>
      <x:c r="C11" s="19"/>
      <x:c r="D11" s="19"/>
      <x:c r="E11" s="19"/>
      <x:c r="F11" s="19"/>
      <x:c r="G11" s="19" t="str">
        <x:v>年报事实</x:v>
      </x:c>
      <x:c r="H11" s="19" t="str">
        <x:v>计划新增贷款=客户贷款合计×8%</x:v>
      </x:c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 ht="24" customHeight="1">
      <x:c r="A13" s="58" t="str">
        <x:v>四个候选8%组合：各列表示新增贷款分配权重</x:v>
      </x:c>
      <x:c r="B13" s="58" t="str">
        <x:v>四个候选8%组合：各列表示新增贷款分配权重</x:v>
      </x:c>
      <x:c r="C13" s="58" t="str">
        <x:v>四个候选8%组合：各列表示新增贷款分配权重</x:v>
      </x:c>
      <x:c r="D13" s="58" t="str">
        <x:v>四个候选8%组合：各列表示新增贷款分配权重</x:v>
      </x:c>
      <x:c r="E13" s="58" t="str">
        <x:v>四个候选8%组合：各列表示新增贷款分配权重</x:v>
      </x:c>
      <x:c r="F13" s="58" t="str">
        <x:v>四个候选8%组合：各列表示新增贷款分配权重</x:v>
      </x:c>
      <x:c r="G13" s="58" t="str">
        <x:v>四个候选8%组合：各列表示新增贷款分配权重</x:v>
      </x:c>
      <x:c r="H13" s="58" t="str">
        <x:v>四个候选8%组合：各列表示新增贷款分配权重</x:v>
      </x:c>
    </x:row>
    <x:row r="14" ht="28" customHeight="1">
      <x:c r="A14" s="15" t="str">
        <x:v>产品</x:v>
      </x:c>
      <x:c r="B14" s="15" t="str">
        <x:v>P0 基准结构</x:v>
      </x:c>
      <x:c r="C14" s="15" t="str">
        <x:v>P1</x:v>
      </x:c>
      <x:c r="D14" s="15" t="str">
        <x:v>P2</x:v>
      </x:c>
      <x:c r="E14" s="15" t="str">
        <x:v>P3</x:v>
      </x:c>
      <x:c r="F14" s="31"/>
      <x:c r="G14" s="31"/>
      <x:c r="H14" s="31"/>
    </x:row>
    <x:row r="15">
      <x:c r="A15" s="19" t="str">
        <x:v>对公贷款</x:v>
      </x:c>
      <x:c r="B15" s="53" t="n">
        <x:v>0.4157388272748851</x:v>
      </x:c>
      <x:c r="C15" s="53" t="n">
        <x:v>0.25</x:v>
      </x:c>
      <x:c r="D15" s="53" t="n">
        <x:v>0.2</x:v>
      </x:c>
      <x:c r="E15" s="53" t="n">
        <x:v>0.35</x:v>
      </x:c>
      <x:c r="F15" s="31"/>
      <x:c r="G15" s="31"/>
      <x:c r="H15" s="31"/>
    </x:row>
    <x:row r="16">
      <x:c r="A16" s="19" t="str">
        <x:v>小微贷款</x:v>
      </x:c>
      <x:c r="B16" s="53" t="n">
        <x:v>0.11983235377592343</x:v>
      </x:c>
      <x:c r="C16" s="53" t="n">
        <x:v>0.08</x:v>
      </x:c>
      <x:c r="D16" s="53" t="n">
        <x:v>0.2</x:v>
      </x:c>
      <x:c r="E16" s="53" t="n">
        <x:v>0.12</x:v>
      </x:c>
      <x:c r="F16" s="31"/>
      <x:c r="G16" s="31"/>
      <x:c r="H16" s="31"/>
    </x:row>
    <x:row r="17">
      <x:c r="A17" s="19" t="str">
        <x:v>住房按揭</x:v>
      </x:c>
      <x:c r="B17" s="53" t="n">
        <x:v>0.20577601343724844</x:v>
      </x:c>
      <x:c r="C17" s="53" t="n">
        <x:v>0.48</x:v>
      </x:c>
      <x:c r="D17" s="53" t="n">
        <x:v>0.2</x:v>
      </x:c>
      <x:c r="E17" s="53" t="n">
        <x:v>0.325</x:v>
      </x:c>
      <x:c r="F17" s="31"/>
      <x:c r="G17" s="31"/>
      <x:c r="H17" s="31"/>
    </x:row>
    <x:row r="18">
      <x:c r="A18" s="19" t="str">
        <x:v>信用卡</x:v>
      </x:c>
      <x:c r="B18" s="53" t="n">
        <x:v>0.1376015760022589</x:v>
      </x:c>
      <x:c r="C18" s="53" t="n">
        <x:v>0.04</x:v>
      </x:c>
      <x:c r="D18" s="53" t="n">
        <x:v>0.2</x:v>
      </x:c>
      <x:c r="E18" s="53" t="n">
        <x:v>0.08</x:v>
      </x:c>
      <x:c r="F18" s="31"/>
      <x:c r="G18" s="31"/>
      <x:c r="H18" s="31"/>
    </x:row>
    <x:row r="19">
      <x:c r="A19" s="19" t="str">
        <x:v>消费贷款</x:v>
      </x:c>
      <x:c r="B19" s="53" t="n">
        <x:v>0.05751203305888305</x:v>
      </x:c>
      <x:c r="C19" s="53" t="n">
        <x:v>0.02</x:v>
      </x:c>
      <x:c r="D19" s="53" t="n">
        <x:v>0.15</x:v>
      </x:c>
      <x:c r="E19" s="53" t="n">
        <x:v>0.04</x:v>
      </x:c>
      <x:c r="F19" s="31"/>
      <x:c r="G19" s="31"/>
      <x:c r="H19" s="31"/>
    </x:row>
    <x:row r="20">
      <x:c r="A20" s="19" t="str">
        <x:v>其他零售</x:v>
      </x:c>
      <x:c r="B20" s="53" t="n">
        <x:v>0.008380569123218088</x:v>
      </x:c>
      <x:c r="C20" s="53" t="n">
        <x:v>0</x:v>
      </x:c>
      <x:c r="D20" s="53" t="n">
        <x:v>0.05</x:v>
      </x:c>
      <x:c r="E20" s="53" t="n">
        <x:v>0.005</x:v>
      </x:c>
      <x:c r="F20" s="31"/>
      <x:c r="G20" s="31"/>
      <x:c r="H20" s="31"/>
    </x:row>
    <x:row r="21">
      <x:c r="A21" s="19" t="str">
        <x:v>票据贴现</x:v>
      </x:c>
      <x:c r="B21" s="53" t="n">
        <x:v>0.05515862732758302</x:v>
      </x:c>
      <x:c r="C21" s="53" t="n">
        <x:v>0.13</x:v>
      </x:c>
      <x:c r="D21" s="53" t="n">
        <x:v>0</x:v>
      </x:c>
      <x:c r="E21" s="53" t="n">
        <x:v>0.08</x:v>
      </x:c>
      <x:c r="F21" s="31"/>
      <x:c r="G21" s="31"/>
      <x:c r="H21" s="31"/>
    </x:row>
    <x:row r="22">
      <x:c r="A22" s="19" t="str">
        <x:v>权重合计</x:v>
      </x:c>
      <x:c r="B22" s="53" t="n">
        <x:v>1</x:v>
      </x:c>
      <x:c r="C22" s="53" t="n">
        <x:v>1</x:v>
      </x:c>
      <x:c r="D22" s="53" t="n">
        <x:v>1</x:v>
      </x:c>
      <x:c r="E22" s="53" t="n">
        <x:v>1</x:v>
      </x:c>
      <x:c r="F22" s="31"/>
      <x:c r="G22" s="31"/>
      <x:c r="H22" s="31"/>
    </x:row>
    <x:row r="23">
      <x:c r="A23" s="31"/>
      <x:c r="B23" s="31"/>
      <x:c r="C23" s="31"/>
      <x:c r="D23" s="31"/>
      <x:c r="E23" s="31"/>
      <x:c r="F23" s="31"/>
      <x:c r="G23" s="31"/>
      <x:c r="H23" s="31"/>
    </x:row>
    <x:row r="24" ht="24" customHeight="1">
      <x:c r="A24" s="27" t="str">
        <x:v>业务约束与筛选顺序</x:v>
      </x:c>
      <x:c r="B24" s="27" t="str">
        <x:v>业务约束与筛选顺序</x:v>
      </x:c>
      <x:c r="C24" s="27" t="str">
        <x:v>业务约束与筛选顺序</x:v>
      </x:c>
      <x:c r="D24" s="27" t="str">
        <x:v>业务约束与筛选顺序</x:v>
      </x:c>
      <x:c r="E24" s="27" t="str">
        <x:v>业务约束与筛选顺序</x:v>
      </x:c>
      <x:c r="F24" s="27" t="str">
        <x:v>业务约束与筛选顺序</x:v>
      </x:c>
      <x:c r="G24" s="27" t="str">
        <x:v>业务约束与筛选顺序</x:v>
      </x:c>
      <x:c r="H24" s="27" t="str">
        <x:v>业务约束与筛选顺序</x:v>
      </x:c>
    </x:row>
    <x:row r="25" ht="28" customHeight="1">
      <x:c r="A25" s="15" t="str">
        <x:v>顺序</x:v>
      </x:c>
      <x:c r="B25" s="15" t="str">
        <x:v>约束</x:v>
      </x:c>
      <x:c r="C25" s="15" t="str">
        <x:v>判定公式</x:v>
      </x:c>
      <x:c r="D25" s="15" t="str">
        <x:v>阈值</x:v>
      </x:c>
      <x:c r="E25" s="15" t="str">
        <x:v>边界</x:v>
      </x:c>
      <x:c r="F25" s="15" t="str">
        <x:v>适用对象</x:v>
      </x:c>
      <x:c r="G25" s="15" t="str">
        <x:v>性质</x:v>
      </x:c>
      <x:c r="H25" s="15" t="str">
        <x:v>备注</x:v>
      </x:c>
    </x:row>
    <x:row r="26">
      <x:c r="A26" s="22" t="n">
        <x:v>1</x:v>
      </x:c>
      <x:c r="B26" s="22" t="str">
        <x:v>总分配权重</x:v>
      </x:c>
      <x:c r="C26" s="22" t="str">
        <x:v>Σw_i</x:v>
      </x:c>
      <x:c r="D26" s="22" t="str">
        <x:v>100%</x:v>
      </x:c>
      <x:c r="E26" s="22" t="str">
        <x:v>等于</x:v>
      </x:c>
      <x:c r="F26" s="22" t="str">
        <x:v>P0-P3</x:v>
      </x:c>
      <x:c r="G26" s="22" t="str">
        <x:v>案例假设</x:v>
      </x:c>
      <x:c r="H26" s="22" t="str">
        <x:v>先检查</x:v>
      </x:c>
    </x:row>
    <x:row r="27">
      <x:c r="A27" s="22" t="n">
        <x:v>2</x:v>
      </x:c>
      <x:c r="B27" s="22" t="str">
        <x:v>对公+小微份额</x:v>
      </x:c>
      <x:c r="C27" s="22" t="str">
        <x:v>w_对公+w_小微</x:v>
      </x:c>
      <x:c r="D27" s="22" t="str">
        <x:v>30%</x:v>
      </x:c>
      <x:c r="E27" s="22" t="str">
        <x:v>≥</x:v>
      </x:c>
      <x:c r="F27" s="22" t="str">
        <x:v>P0-P3</x:v>
      </x:c>
      <x:c r="G27" s="22" t="str">
        <x:v>案例假设</x:v>
      </x:c>
      <x:c r="H27" s="22" t="str">
        <x:v>业务最低要求</x:v>
      </x:c>
    </x:row>
    <x:row r="28">
      <x:c r="A28" s="22" t="n">
        <x:v>3</x:v>
      </x:c>
      <x:c r="B28" s="22" t="str">
        <x:v>住房按揭份额</x:v>
      </x:c>
      <x:c r="C28" s="22" t="str">
        <x:v>w_按揭</x:v>
      </x:c>
      <x:c r="D28" s="22" t="str">
        <x:v>25%</x:v>
      </x:c>
      <x:c r="E28" s="22" t="str">
        <x:v>≥</x:v>
      </x:c>
      <x:c r="F28" s="22" t="str">
        <x:v>P0-P3</x:v>
      </x:c>
      <x:c r="G28" s="22" t="str">
        <x:v>案例假设</x:v>
      </x:c>
      <x:c r="H28" s="22" t="str">
        <x:v>住房按揭最低份额</x:v>
      </x:c>
    </x:row>
    <x:row r="29">
      <x:c r="A29" s="22" t="n">
        <x:v>4</x:v>
      </x:c>
      <x:c r="B29" s="22" t="str">
        <x:v>信用卡+消费贷份额</x:v>
      </x:c>
      <x:c r="C29" s="22" t="str">
        <x:v>w_信用卡+w_消费</x:v>
      </x:c>
      <x:c r="D29" s="22" t="str">
        <x:v>15%</x:v>
      </x:c>
      <x:c r="E29" s="22" t="str">
        <x:v>≤</x:v>
      </x:c>
      <x:c r="F29" s="22" t="str">
        <x:v>P0-P3</x:v>
      </x:c>
      <x:c r="G29" s="22" t="str">
        <x:v>案例假设</x:v>
      </x:c>
      <x:c r="H29" s="22" t="str">
        <x:v>高风险零售上限</x:v>
      </x:c>
    </x:row>
    <x:row r="30">
      <x:c r="A30" s="22" t="n">
        <x:v>5</x:v>
      </x:c>
      <x:c r="B30" s="22" t="str">
        <x:v>票据贴现份额</x:v>
      </x:c>
      <x:c r="C30" s="22" t="str">
        <x:v>w_票据</x:v>
      </x:c>
      <x:c r="D30" s="22" t="str">
        <x:v>15%</x:v>
      </x:c>
      <x:c r="E30" s="22" t="str">
        <x:v>≤</x:v>
      </x:c>
      <x:c r="F30" s="22" t="str">
        <x:v>P0-P3</x:v>
      </x:c>
      <x:c r="G30" s="22" t="str">
        <x:v>案例假设</x:v>
      </x:c>
      <x:c r="H30" s="22" t="str">
        <x:v>流动性与收益约束</x:v>
      </x:c>
    </x:row>
    <x:row r="31">
      <x:c r="A31" s="22" t="n">
        <x:v>6</x:v>
      </x:c>
      <x:c r="B31" s="22" t="str">
        <x:v>产品增速上限</x:v>
      </x:c>
      <x:c r="C31" s="22" t="str">
        <x:v>计划新增贷款_i÷2024余额_i</x:v>
      </x:c>
      <x:c r="D31" s="22" t="str">
        <x:v>见上表F列</x:v>
      </x:c>
      <x:c r="E31" s="22" t="str">
        <x:v>≤</x:v>
      </x:c>
      <x:c r="F31" s="22" t="str">
        <x:v>逐产品</x:v>
      </x:c>
      <x:c r="G31" s="22" t="str">
        <x:v>案例假设</x:v>
      </x:c>
      <x:c r="H31" s="22" t="str">
        <x:v>任一产品超限即业务约束不通过</x:v>
      </x:c>
    </x:row>
    <x:row r="32">
      <x:c r="A32" s="31"/>
      <x:c r="B32" s="31"/>
      <x:c r="C32" s="31"/>
      <x:c r="D32" s="31"/>
      <x:c r="E32" s="31"/>
      <x:c r="F32" s="31"/>
      <x:c r="G32" s="31"/>
      <x:c r="H32" s="31"/>
    </x:row>
    <x:row r="33" ht="24" customHeight="1">
      <x:c r="A33" s="27" t="str">
        <x:v>模型必须自行计算的组合结果（本附件不提供答案）</x:v>
      </x:c>
      <x:c r="B33" s="27" t="str">
        <x:v>模型必须自行计算的组合结果（本附件不提供答案）</x:v>
      </x:c>
      <x:c r="C33" s="27" t="str">
        <x:v>模型必须自行计算的组合结果（本附件不提供答案）</x:v>
      </x:c>
      <x:c r="D33" s="27" t="str">
        <x:v>模型必须自行计算的组合结果（本附件不提供答案）</x:v>
      </x:c>
      <x:c r="E33" s="27" t="str">
        <x:v>模型必须自行计算的组合结果（本附件不提供答案）</x:v>
      </x:c>
      <x:c r="F33" s="27" t="str">
        <x:v>模型必须自行计算的组合结果（本附件不提供答案）</x:v>
      </x:c>
      <x:c r="G33" s="27" t="str">
        <x:v>模型必须自行计算的组合结果（本附件不提供答案）</x:v>
      </x:c>
      <x:c r="H33" s="27" t="str">
        <x:v>模型必须自行计算的组合结果（本附件不提供答案）</x:v>
      </x:c>
    </x:row>
    <x:row r="34" ht="28" customHeight="1">
      <x:c r="A34" s="15" t="str">
        <x:v>顺序</x:v>
      </x:c>
      <x:c r="B34" s="15" t="str">
        <x:v>输出字段</x:v>
      </x:c>
      <x:c r="C34" s="15" t="str">
        <x:v>P0</x:v>
      </x:c>
      <x:c r="D34" s="15" t="str">
        <x:v>P1</x:v>
      </x:c>
      <x:c r="E34" s="15" t="str">
        <x:v>P2</x:v>
      </x:c>
      <x:c r="F34" s="15" t="str">
        <x:v>P3</x:v>
      </x:c>
      <x:c r="G34" s="15" t="str">
        <x:v>单位</x:v>
      </x:c>
      <x:c r="H34" s="15" t="str">
        <x:v>口径</x:v>
      </x:c>
    </x:row>
    <x:row r="35">
      <x:c r="A35" s="21" t="n">
        <x:v>1</x:v>
      </x:c>
      <x:c r="B35" s="21" t="str">
        <x:v>计划新增贷款总额与逐产品分配</x:v>
      </x:c>
      <x:c r="C35" s="21"/>
      <x:c r="D35" s="21"/>
      <x:c r="E35" s="21"/>
      <x:c r="F35" s="21"/>
      <x:c r="G35" s="21" t="str">
        <x:v>百万元/亿元</x:v>
      </x:c>
      <x:c r="H35" s="21" t="str">
        <x:v>客户贷款×8%×权重</x:v>
      </x:c>
    </x:row>
    <x:row r="36">
      <x:c r="A36" s="21" t="n">
        <x:v>2</x:v>
      </x:c>
      <x:c r="B36" s="21" t="str">
        <x:v>逐产品实际增速与上限检查</x:v>
      </x:c>
      <x:c r="C36" s="21"/>
      <x:c r="D36" s="21"/>
      <x:c r="E36" s="21"/>
      <x:c r="F36" s="21"/>
      <x:c r="G36" s="21" t="str">
        <x:v>%/通过失败</x:v>
      </x:c>
      <x:c r="H36" s="21" t="str">
        <x:v>新增贷款_i÷2024余额_i</x:v>
      </x:c>
    </x:row>
    <x:row r="37">
      <x:c r="A37" s="21" t="n">
        <x:v>3</x:v>
      </x:c>
      <x:c r="B37" s="21" t="str">
        <x:v>计划新增RWA</x:v>
      </x:c>
      <x:c r="C37" s="21"/>
      <x:c r="D37" s="21"/>
      <x:c r="E37" s="21"/>
      <x:c r="F37" s="21"/>
      <x:c r="G37" s="21" t="str">
        <x:v>百万元/亿元</x:v>
      </x:c>
      <x:c r="H37" s="21" t="str">
        <x:v>Σ新增贷款_i×产品RWA密度</x:v>
      </x:c>
    </x:row>
    <x:row r="38">
      <x:c r="A38" s="21" t="n">
        <x:v>4</x:v>
      </x:c>
      <x:c r="B38" s="21" t="str">
        <x:v>新增贷款税前NII</x:v>
      </x:c>
      <x:c r="C38" s="21"/>
      <x:c r="D38" s="21"/>
      <x:c r="E38" s="21"/>
      <x:c r="F38" s="21"/>
      <x:c r="G38" s="21" t="str">
        <x:v>百万元/亿元</x:v>
      </x:c>
      <x:c r="H38" s="21" t="str">
        <x:v>Σ新增贷款_i×年化NII率</x:v>
      </x:c>
    </x:row>
    <x:row r="39">
      <x:c r="A39" s="21" t="n">
        <x:v>5</x:v>
      </x:c>
      <x:c r="B39" s="21" t="str">
        <x:v>新增贷款预期损失</x:v>
      </x:c>
      <x:c r="C39" s="21"/>
      <x:c r="D39" s="21"/>
      <x:c r="E39" s="21"/>
      <x:c r="F39" s="21"/>
      <x:c r="G39" s="21" t="str">
        <x:v>百万元/亿元</x:v>
      </x:c>
      <x:c r="H39" s="21" t="str">
        <x:v>Σ新增贷款_i×预期损失率</x:v>
      </x:c>
    </x:row>
    <x:row r="40">
      <x:c r="A40" s="21" t="n">
        <x:v>6</x:v>
      </x:c>
      <x:c r="B40" s="21" t="str">
        <x:v>新增贷款税后资本贡献</x:v>
      </x:c>
      <x:c r="C40" s="21"/>
      <x:c r="D40" s="21"/>
      <x:c r="E40" s="21"/>
      <x:c r="F40" s="21"/>
      <x:c r="G40" s="21" t="str">
        <x:v>百万元/亿元</x:v>
      </x:c>
      <x:c r="H40" s="21" t="str">
        <x:v>(税前NII-预期损失)×(1-20%)</x:v>
      </x:c>
    </x:row>
    <x:row r="41">
      <x:c r="A41" s="21" t="n">
        <x:v>7</x:v>
      </x:c>
      <x:c r="B41" s="21" t="str">
        <x:v>重度情景组合后CET1资本、RWA与比率</x:v>
      </x:c>
      <x:c r="C41" s="21"/>
      <x:c r="D41" s="21"/>
      <x:c r="E41" s="21"/>
      <x:c r="F41" s="21"/>
      <x:c r="G41" s="21" t="str">
        <x:v>亿元/%</x:v>
      </x:c>
      <x:c r="H41" s="21" t="str">
        <x:v>见A02第4页</x:v>
      </x:c>
    </x:row>
    <x:row r="42">
      <x:c r="A42" s="21" t="n">
        <x:v>8</x:v>
      </x:c>
      <x:c r="B42" s="21" t="str">
        <x:v>11.50%底线缓冲或缺口</x:v>
      </x:c>
      <x:c r="C42" s="21"/>
      <x:c r="D42" s="21"/>
      <x:c r="E42" s="21"/>
      <x:c r="F42" s="21"/>
      <x:c r="G42" s="21" t="str">
        <x:v>bp/亿元</x:v>
      </x:c>
      <x:c r="H42" s="21" t="str">
        <x:v>必须用未舍入值判定</x:v>
      </x:c>
    </x:row>
    <x:row r="43">
      <x:c r="A43" s="21" t="n">
        <x:v>9</x:v>
      </x:c>
      <x:c r="B43" s="21" t="str">
        <x:v>11.75%监测线资本缺口</x:v>
      </x:c>
      <x:c r="C43" s="21"/>
      <x:c r="D43" s="21"/>
      <x:c r="E43" s="21"/>
      <x:c r="F43" s="21"/>
      <x:c r="G43" s="21" t="str">
        <x:v>亿元</x:v>
      </x:c>
      <x:c r="H43" s="21" t="str">
        <x:v>仅对入选方案输出</x:v>
      </x:c>
    </x:row>
    <x:row r="44">
      <x:c r="A44" s="21" t="n">
        <x:v>10</x:v>
      </x:c>
      <x:c r="B44" s="21" t="str">
        <x:v>业务约束、资本约束与最终筛选</x:v>
      </x:c>
      <x:c r="C44" s="21"/>
      <x:c r="D44" s="21"/>
      <x:c r="E44" s="21"/>
      <x:c r="F44" s="21"/>
      <x:c r="G44" s="21" t="str">
        <x:v>通过失败</x:v>
      </x:c>
      <x:c r="H44" s="21" t="str">
        <x:v>业务约束先于收益排序</x:v>
      </x:c>
    </x:row>
    <x:row r="45">
      <x:c r="A45" s="31"/>
      <x:c r="B45" s="31"/>
      <x:c r="C45" s="31"/>
      <x:c r="D45" s="31"/>
      <x:c r="E45" s="31"/>
      <x:c r="F45" s="31"/>
      <x:c r="G45" s="31"/>
      <x:c r="H45" s="31"/>
    </x:row>
    <x:row r="46" ht="24" customHeight="1">
      <x:c r="A46" s="58" t="str">
        <x:v>连续最优、0.5个百分点执行网格与联合反向压力（模型必须自行求解）</x:v>
      </x:c>
      <x:c r="B46" s="58" t="str">
        <x:v>连续最优、0.5个百分点执行网格与联合反向压力（模型必须自行求解）</x:v>
      </x:c>
      <x:c r="C46" s="58" t="str">
        <x:v>连续最优、0.5个百分点执行网格与联合反向压力（模型必须自行求解）</x:v>
      </x:c>
      <x:c r="D46" s="58" t="str">
        <x:v>连续最优、0.5个百分点执行网格与联合反向压力（模型必须自行求解）</x:v>
      </x:c>
      <x:c r="E46" s="58" t="str">
        <x:v>连续最优、0.5个百分点执行网格与联合反向压力（模型必须自行求解）</x:v>
      </x:c>
      <x:c r="F46" s="58" t="str">
        <x:v>连续最优、0.5个百分点执行网格与联合反向压力（模型必须自行求解）</x:v>
      </x:c>
      <x:c r="G46" s="58" t="str">
        <x:v>连续最优、0.5个百分点执行网格与联合反向压力（模型必须自行求解）</x:v>
      </x:c>
      <x:c r="H46" s="58" t="str">
        <x:v>连续最优、0.5个百分点执行网格与联合反向压力（模型必须自行求解）</x:v>
      </x:c>
    </x:row>
    <x:row r="47" ht="28" customHeight="1">
      <x:c r="A47" s="15" t="str">
        <x:v>步骤</x:v>
      </x:c>
      <x:c r="B47" s="15" t="str">
        <x:v>任务</x:v>
      </x:c>
      <x:c r="C47" s="15" t="str">
        <x:v>目标/公式</x:v>
      </x:c>
      <x:c r="D47" s="15" t="str">
        <x:v>变量与网格</x:v>
      </x:c>
      <x:c r="E47" s="15" t="str">
        <x:v>约束</x:v>
      </x:c>
      <x:c r="F47" s="15" t="str">
        <x:v>必须输出</x:v>
      </x:c>
      <x:c r="G47" s="15" t="str">
        <x:v>性质</x:v>
      </x:c>
      <x:c r="H47" s="15" t="str">
        <x:v>备注</x:v>
      </x:c>
    </x:row>
    <x:row r="48">
      <x:c r="A48" s="22" t="n">
        <x:v>1</x:v>
      </x:c>
      <x:c r="B48" s="22" t="str">
        <x:v>连续理论最优 P^cont</x:v>
      </x:c>
      <x:c r="C48" s="22" t="str">
        <x:v>max K=(NII−EL)×80%</x:v>
      </x:c>
      <x:c r="D48" s="22" t="str">
        <x:v>7个产品权重w_i为连续变量</x:v>
      </x:c>
      <x:c r="E48" s="22" t="str">
        <x:v>第25至31行全部业务约束；组合CET1≥11.50%</x:v>
      </x:c>
      <x:c r="F48" s="22" t="str">
        <x:v>7个权重、经济指标、资本结果、有效约束</x:v>
      </x:c>
      <x:c r="G48" s="22" t="str">
        <x:v>案例假设</x:v>
      </x:c>
      <x:c r="H48" s="22" t="str">
        <x:v>不得只在P0-P3中选择</x:v>
      </x:c>
    </x:row>
    <x:row r="49">
      <x:c r="A49" s="22" t="n">
        <x:v>2</x:v>
      </x:c>
      <x:c r="B49" s="22" t="str">
        <x:v>可执行网格 P*</x:v>
      </x:c>
      <x:c r="C49" s="22" t="str">
        <x:v>在可行网格点中max K</x:v>
      </x:c>
      <x:c r="D49" s="22" t="str">
        <x:v>每个w_i必须是0.5个百分点的整数倍</x:v>
      </x:c>
      <x:c r="E49" s="22" t="str">
        <x:v>同上</x:v>
      </x:c>
      <x:c r="F49" s="22" t="str">
        <x:v>7个权重、实际增速、经济指标、资本结果</x:v>
      </x:c>
      <x:c r="G49" s="22" t="str">
        <x:v>案例假设</x:v>
      </x:c>
      <x:c r="H49" s="22" t="str">
        <x:v>P*作为最终入选方案</x:v>
      </x:c>
    </x:row>
    <x:row r="50">
      <x:c r="A50" s="22" t="n">
        <x:v>3</x:v>
      </x:c>
      <x:c r="B50" s="22" t="str">
        <x:v>并列破除</x:v>
      </x:c>
      <x:c r="C50" s="22" t="str">
        <x:v>K相同则先选计划RWA较低者；仍相同则选住房按揭权重较高者</x:v>
      </x:c>
      <x:c r="D50" s="22" t="str">
        <x:v>按未舍入值逐级比较</x:v>
      </x:c>
      <x:c r="E50" s="22" t="str">
        <x:v>不得先四舍五入</x:v>
      </x:c>
      <x:c r="F50" s="22" t="str">
        <x:v>说明是否实际触发并列规则</x:v>
      </x:c>
      <x:c r="G50" s="22" t="str">
        <x:v>案例假设</x:v>
      </x:c>
      <x:c r="H50" s="22" t="str">
        <x:v>保证唯一选择</x:v>
      </x:c>
    </x:row>
    <x:row r="51">
      <x:c r="A51" s="22" t="n">
        <x:v>4</x:v>
      </x:c>
      <x:c r="B51" s="22" t="str">
        <x:v>离散化代价</x:v>
      </x:c>
      <x:c r="C51" s="22" t="str">
        <x:v>P^cont与P*比较</x:v>
      </x:c>
      <x:c r="D51" s="22" t="str">
        <x:v>ΔK=K_cont−K_*；ΔRWA=RWA_cont−RWA_*</x:v>
      </x:c>
      <x:c r="E51" s="22" t="str">
        <x:v>保持同一重度口径</x:v>
      </x:c>
      <x:c r="F51" s="22" t="str">
        <x:v>两项差异及业务解释</x:v>
      </x:c>
      <x:c r="G51" s="22" t="str">
        <x:v>分析派生</x:v>
      </x:c>
      <x:c r="H51" s="22" t="str">
        <x:v>正负号按公式</x:v>
      </x:c>
    </x:row>
    <x:row r="52">
      <x:c r="A52" s="22" t="n">
        <x:v>5</x:v>
      </x:c>
      <x:c r="B52" s="22" t="str">
        <x:v>P3→P1最小修复</x:v>
      </x:c>
      <x:c r="C52" s="22" t="str">
        <x:v>w(α)=αP1+(1−α)P3；解r(α)=11.50%</x:v>
      </x:c>
      <x:c r="D52" s="22" t="str">
        <x:v>0≤α≤1</x:v>
      </x:c>
      <x:c r="E52" s="22" t="str">
        <x:v>沿线全部业务约束仍须复核</x:v>
      </x:c>
      <x:c r="F52" s="22" t="str">
        <x:v>α*、7个混合权重、K、RWA、CET1率</x:v>
      </x:c>
      <x:c r="G52" s="22" t="str">
        <x:v>分析派生</x:v>
      </x:c>
      <x:c r="H52" s="22" t="str">
        <x:v>这是候选间最小修复路径，不等同P*</x:v>
      </x:c>
    </x:row>
    <x:row r="53">
      <x:c r="A53" s="22" t="n">
        <x:v>6</x:v>
      </x:c>
      <x:c r="B53" s="22" t="str">
        <x:v>P*底线余量</x:v>
      </x:c>
      <x:c r="C53" s="22" t="str">
        <x:v>H=CET1_*−11.50%×RWA_*</x:v>
      </x:c>
      <x:c r="D53" s="22" t="str">
        <x:v>使用未舍入百万元值</x:v>
      </x:c>
      <x:c r="E53" s="22" t="str">
        <x:v>同时换算亿元与bp</x:v>
      </x:c>
      <x:c r="F53" s="22" t="str">
        <x:v>H三单位与11.75%缺口</x:v>
      </x:c>
      <x:c r="G53" s="22" t="str">
        <x:v>分析派生</x:v>
      </x:c>
      <x:c r="H53" s="22" t="str">
        <x:v>不得用显示为11.50%的比例倒推</x:v>
      </x:c>
    </x:row>
    <x:row r="54">
      <x:c r="A54" s="22" t="n">
        <x:v>7</x:v>
      </x:c>
      <x:c r="B54" s="22" t="str">
        <x:v>P*联合资本前沿</x:v>
      </x:c>
      <x:c r="C54" s="22" t="str">
        <x:v>H(b,λ)=CET1(b,λ)−11.50%×RWA(λ)=0</x:v>
      </x:c>
      <x:c r="D54" s="22" t="str">
        <x:v>b=|ΔNIM|；严重新不良、拨备和新增不良RWA同步乘λ</x:v>
      </x:c>
      <x:c r="E54" s="22" t="str">
        <x:v>20≤b≤b*；1≤λ≤λ*</x:v>
      </x:c>
      <x:c r="F54" s="22" t="str">
        <x:v>b=20、20.005、20.010、b*四个边界点及q</x:v>
      </x:c>
      <x:c r="G54" s="22" t="str">
        <x:v>分析派生</x:v>
      </x:c>
      <x:c r="H54" s="22" t="str">
        <x:v>b单位bp；q单位bp</x:v>
      </x:c>
    </x:row>
    <x:row r="55">
      <x:c r="A55" s="22" t="n">
        <x:v>8</x:v>
      </x:c>
      <x:c r="B55" s="22" t="str">
        <x:v>单因子临界</x:v>
      </x:c>
      <x:c r="C55" s="22" t="str">
        <x:v>固定另一冲击为当前重度值</x:v>
      </x:c>
      <x:c r="D55" s="22" t="str">
        <x:v>NIM固定λ=1；信用固定b=20</x:v>
      </x:c>
      <x:c r="E55" s="22" t="str">
        <x:v>边界用未舍入值</x:v>
      </x:c>
      <x:c r="F55" s="22" t="str">
        <x:v>b*、ΔNIM*、λ*、q*及绝对/相对余量</x:v>
      </x:c>
      <x:c r="G55" s="22" t="str">
        <x:v>分析派生</x:v>
      </x:c>
      <x:c r="H55" s="22" t="str">
        <x:v>P*替代P1</x:v>
      </x:c>
    </x:row>
    <x:row r="56">
      <x:c r="A56" s="22" t="n">
        <x:v>9</x:v>
      </x:c>
      <x:c r="B56" s="22" t="str">
        <x:v>联合最近穿越</x:v>
      </x:c>
      <x:c r="C56" s="22" t="str">
        <x:v>min D=sqrt{[(b−20)/1bp]^2+[(λ−1)/0.01]^2}</x:v>
      </x:c>
      <x:c r="D56" s="22" t="str">
        <x:v>在H(b,λ)=0且b≥20、λ≥1上求解</x:v>
      </x:c>
      <x:c r="E56" s="22" t="str">
        <x:v>1bp与0.01仅为案例标准化尺度</x:v>
      </x:c>
      <x:c r="F56" s="22" t="str">
        <x:v>b_near、λ_near、q_near、D及两项标准化分量</x:v>
      </x:c>
      <x:c r="G56" s="22" t="str">
        <x:v>案例假设</x:v>
      </x:c>
      <x:c r="H56" s="22" t="str">
        <x:v>用正交投影，不得比较不同量纲绝对数</x:v>
      </x:c>
    </x:row>
    <x:row r="57">
      <x:c r="A57" s="22" t="n">
        <x:v>10</x:v>
      </x:c>
      <x:c r="B57" s="22" t="str">
        <x:v>代码与行动</x:v>
      </x:c>
      <x:c r="C57" s="22" t="str">
        <x:v>用P0和P*未舍入值匹配F/A/C</x:v>
      </x:c>
      <x:c r="D57" s="22" t="str">
        <x:v>阈值与固定行动见A02</x:v>
      </x:c>
      <x:c r="E57" s="22" t="str">
        <x:v>每维只能命中一档</x:v>
      </x:c>
      <x:c r="F57" s="22" t="str">
        <x:v>代码、固定行动、责任部门、时限与最终决策</x:v>
      </x:c>
      <x:c r="G57" s="22" t="str">
        <x:v>案例假设</x:v>
      </x:c>
      <x:c r="H57" s="22" t="str">
        <x:v>动作不得自行补充</x:v>
      </x:c>
    </x:row>
    <x:row r="58">
      <x:c r="A58" s="22" t="n">
        <x:v>11</x:v>
      </x:c>
      <x:c r="B58" s="22" t="str">
        <x:v>显示精度</x:v>
      </x:c>
      <x:c r="C58" s="22" t="str">
        <x:v>P^cont权重至少4位%；P*权重1位%；α至少8位%；CET1率7位小数；H与边界按题目要求</x:v>
      </x:c>
      <x:c r="D58" s="22" t="str">
        <x:v>全部判定用未舍入值</x:v>
      </x:c>
      <x:c r="E58" s="22" t="str">
        <x:v>最后一步才舍入</x:v>
      </x:c>
      <x:c r="F58" s="22" t="str">
        <x:v>PPT数值须可复核</x:v>
      </x:c>
      <x:c r="G58" s="22" t="str">
        <x:v>展示规则</x:v>
      </x:c>
      <x:c r="H58" s="22" t="str">
        <x:v>题目专项精度高于通用规则时以题面为准</x:v>
      </x:c>
    </x:row>
    <x:row r="59">
      <x:c r="A59" s="31"/>
      <x:c r="B59" s="31"/>
      <x:c r="C59" s="31"/>
      <x:c r="D59" s="31"/>
      <x:c r="E59" s="31"/>
      <x:c r="F59" s="31"/>
      <x:c r="G59" s="31"/>
      <x:c r="H59" s="31"/>
    </x:row>
    <x:row r="60" ht="30" customHeight="1">
      <x:c r="A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B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C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D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E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F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G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  <x:c r="H60" s="30" t="str">
        <x:v>蓝色余额为年报事实；橙色参数、候选组合、连续/网格优化、标准化尺度、约束和阈值均为本任务案例假设。不得写成招商银行披露、预测、指引或监管要求。附件不提供任何优化结果或临界结果。</x:v>
      </x:c>
    </x:row>
  </x:sheetData>
  <x:mergeCells>
    <x:mergeCell ref="A1:H1"/>
    <x:mergeCell ref="A13:H13"/>
    <x:mergeCell ref="A24:H24"/>
    <x:mergeCell ref="A33:H33"/>
    <x:mergeCell ref="A46:H46"/>
    <x:mergeCell ref="A60:H6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2" hidden="0" customWidth="1"/>
    <x:col min="4" max="4" width="30" hidden="0" customWidth="1"/>
    <x:col min="5" max="5" width="14" hidden="0" customWidth="1"/>
    <x:col min="6" max="6" width="70" hidden="0" customWidth="1"/>
    <x:col min="7" max="7" width="30" hidden="0" customWidth="1"/>
  </x:cols>
  <x:sheetData>
    <x:row r="1" ht="34" customHeight="1">
      <x:c r="A1" s="4" t="str">
        <x:v>09｜公开来源与页码索引</x:v>
      </x:c>
      <x:c r="B1" s="4" t="str">
        <x:v>09｜公开来源与页码索引</x:v>
      </x:c>
      <x:c r="C1" s="4" t="str">
        <x:v>09｜公开来源与页码索引</x:v>
      </x:c>
      <x:c r="D1" s="4" t="str">
        <x:v>09｜公开来源与页码索引</x:v>
      </x:c>
      <x:c r="E1" s="4" t="str">
        <x:v>09｜公开来源与页码索引</x:v>
      </x:c>
      <x:c r="F1" s="4" t="str">
        <x:v>09｜公开来源与页码索引</x:v>
      </x:c>
      <x:c r="G1" s="4" t="str">
        <x:v>09｜公开来源与页码索引</x:v>
      </x:c>
    </x:row>
    <x:row r="2">
      <x:c r="A2" s="31"/>
      <x:c r="B2" s="31"/>
      <x:c r="C2" s="31"/>
      <x:c r="D2" s="31"/>
      <x:c r="E2" s="31"/>
      <x:c r="F2" s="31"/>
      <x:c r="G2" s="31"/>
    </x:row>
    <x:row r="3" ht="28" customHeight="1">
      <x:c r="A3" s="15" t="str">
        <x:v>编号</x:v>
      </x:c>
      <x:c r="B3" s="15" t="str">
        <x:v>数据主题</x:v>
      </x:c>
      <x:c r="C3" s="15" t="str">
        <x:v>文件内位置</x:v>
      </x:c>
      <x:c r="D3" s="15" t="str">
        <x:v>一手来源</x:v>
      </x:c>
      <x:c r="E3" s="15" t="str">
        <x:v>页码</x:v>
      </x:c>
      <x:c r="F3" s="15" t="str">
        <x:v>URL</x:v>
      </x:c>
      <x:c r="G3" s="15" t="str">
        <x:v>口径提示</x:v>
      </x:c>
    </x:row>
    <x:row r="4">
      <x:c r="A4" s="20" t="str">
        <x:v>S01</x:v>
      </x:c>
      <x:c r="B4" s="20" t="str">
        <x:v>关键会计数据</x:v>
      </x:c>
      <x:c r="C4" s="20" t="str">
        <x:v>01_盈利质量</x:v>
      </x:c>
      <x:c r="D4" s="20" t="str">
        <x:v>招商银行2024年度报告（HKEX英文H股版）</x:v>
      </x:c>
      <x:c r="E4" s="20" t="str">
        <x:v>p16</x:v>
      </x:c>
      <x:c r="F4" s="20" t="str">
        <x:v>https://www1.hkexnews.hk/listedco/listconews/sehk/2025/0325/2025032500887.pdf</x:v>
      </x:c>
      <x:c r="G4" s="20" t="str">
        <x:v>集团口径</x:v>
      </x:c>
    </x:row>
    <x:row r="5">
      <x:c r="A5" s="20" t="str">
        <x:v>S02</x:v>
      </x:c>
      <x:c r="B5" s="20" t="str">
        <x:v>财务亮点与收入结构</x:v>
      </x:c>
      <x:c r="C5" s="20" t="str">
        <x:v>01_盈利质量</x:v>
      </x:c>
      <x:c r="D5" s="20" t="str">
        <x:v>同上</x:v>
      </x:c>
      <x:c r="E5" s="20" t="str">
        <x:v>p20/p25</x:v>
      </x:c>
      <x:c r="F5" s="20" t="str">
        <x:v>同S01</x:v>
      </x:c>
      <x:c r="G5" s="20" t="str">
        <x:v>三项收入与营业净收入勾稽</x:v>
      </x:c>
    </x:row>
    <x:row r="6">
      <x:c r="A6" s="20" t="str">
        <x:v>S03</x:v>
      </x:c>
      <x:c r="B6" s="20" t="str">
        <x:v>息差与量价拆分</x:v>
      </x:c>
      <x:c r="C6" s="20" t="str">
        <x:v>02_息差量价</x:v>
      </x:c>
      <x:c r="D6" s="20" t="str">
        <x:v>同上</x:v>
      </x:c>
      <x:c r="E6" s="20" t="str">
        <x:v>p23–24</x:v>
      </x:c>
      <x:c r="F6" s="20" t="str">
        <x:v>同S01</x:v>
      </x:c>
      <x:c r="G6" s="20" t="str">
        <x:v>平均生息资产与量价桥</x:v>
      </x:c>
    </x:row>
    <x:row r="7">
      <x:c r="A7" s="20" t="str">
        <x:v>S04</x:v>
      </x:c>
      <x:c r="B7" s="20" t="str">
        <x:v>费用与减值</x:v>
      </x:c>
      <x:c r="C7" s="20" t="str">
        <x:v>01_盈利质量</x:v>
      </x:c>
      <x:c r="D7" s="20" t="str">
        <x:v>同上</x:v>
      </x:c>
      <x:c r="E7" s="20" t="str">
        <x:v>p26</x:v>
      </x:c>
      <x:c r="F7" s="20" t="str">
        <x:v>同S01</x:v>
      </x:c>
      <x:c r="G7" s="20" t="str">
        <x:v>营业费用/总ECL</x:v>
      </x:c>
    </x:row>
    <x:row r="8">
      <x:c r="A8" s="20" t="str">
        <x:v>S05</x:v>
      </x:c>
      <x:c r="B8" s="20" t="str">
        <x:v>五级分类</x:v>
      </x:c>
      <x:c r="C8" s="20" t="str">
        <x:v>03_五级分类</x:v>
      </x:c>
      <x:c r="D8" s="20" t="str">
        <x:v>同上</x:v>
      </x:c>
      <x:c r="E8" s="20" t="str">
        <x:v>p32</x:v>
      </x:c>
      <x:c r="F8" s="20" t="str">
        <x:v>同S01</x:v>
      </x:c>
      <x:c r="G8" s="20" t="str">
        <x:v>次级+可疑+损失=不良</x:v>
      </x:c>
    </x:row>
    <x:row r="9">
      <x:c r="A9" s="20" t="str">
        <x:v>S06</x:v>
      </x:c>
      <x:c r="B9" s="20" t="str">
        <x:v>分产品贷款与不良</x:v>
      </x:c>
      <x:c r="C9" s="20" t="str">
        <x:v>04_产品风险</x:v>
      </x:c>
      <x:c r="D9" s="20" t="str">
        <x:v>同上</x:v>
      </x:c>
      <x:c r="E9" s="20" t="str">
        <x:v>p33</x:v>
      </x:c>
      <x:c r="F9" s="20" t="str">
        <x:v>同S01</x:v>
      </x:c>
      <x:c r="G9" s="20" t="str">
        <x:v>使用披露余额，不用舍入率反推</x:v>
      </x:c>
    </x:row>
    <x:row r="10">
      <x:c r="A10" s="20" t="str">
        <x:v>S07</x:v>
      </x:c>
      <x:c r="B10" s="20" t="str">
        <x:v>逾期贷款</x:v>
      </x:c>
      <x:c r="C10" s="20" t="str">
        <x:v>03_五级分类</x:v>
      </x:c>
      <x:c r="D10" s="20" t="str">
        <x:v>同上</x:v>
      </x:c>
      <x:c r="E10" s="20" t="str">
        <x:v>p37</x:v>
      </x:c>
      <x:c r="F10" s="20" t="str">
        <x:v>同S01</x:v>
      </x:c>
      <x:c r="G10" s="20" t="str">
        <x:v>期末余额</x:v>
      </x:c>
    </x:row>
    <x:row r="11">
      <x:c r="A11" s="20" t="str">
        <x:v>S08</x:v>
      </x:c>
      <x:c r="B11" s="20" t="str">
        <x:v>贷款拨备</x:v>
      </x:c>
      <x:c r="C11" s="20" t="str">
        <x:v>03_五级分类</x:v>
      </x:c>
      <x:c r="D11" s="20" t="str">
        <x:v>同上</x:v>
      </x:c>
      <x:c r="E11" s="20" t="str">
        <x:v>p38</x:v>
      </x:c>
      <x:c r="F11" s="20" t="str">
        <x:v>同S01</x:v>
      </x:c>
      <x:c r="G11" s="20" t="str">
        <x:v>与Stage表口径不同</x:v>
      </x:c>
    </x:row>
    <x:row r="12">
      <x:c r="A12" s="20" t="str">
        <x:v>S09</x:v>
      </x:c>
      <x:c r="B12" s="20" t="str">
        <x:v>资本充足率</x:v>
      </x:c>
      <x:c r="C12" s="20" t="str">
        <x:v>06_资本充足率</x:v>
      </x:c>
      <x:c r="D12" s="20" t="str">
        <x:v>同上</x:v>
      </x:c>
      <x:c r="E12" s="20" t="str">
        <x:v>p39–40</x:v>
      </x:c>
      <x:c r="F12" s="20" t="str">
        <x:v>同S01</x:v>
      </x:c>
      <x:c r="G12" s="20" t="str">
        <x:v>压力测试只用2024加权法</x:v>
      </x:c>
    </x:row>
    <x:row r="13">
      <x:c r="A13" s="20" t="str">
        <x:v>S10</x:v>
      </x:c>
      <x:c r="B13" s="20" t="str">
        <x:v>Stage期末拨备</x:v>
      </x:c>
      <x:c r="C13" s="20" t="str">
        <x:v>05_Stage与拨备</x:v>
      </x:c>
      <x:c r="D13" s="20" t="str">
        <x:v>同上</x:v>
      </x:c>
      <x:c r="E13" s="20" t="str">
        <x:v>p210–211</x:v>
      </x:c>
      <x:c r="F13" s="20" t="str">
        <x:v>同S01</x:v>
      </x:c>
      <x:c r="G13" s="20" t="str">
        <x:v>摊余成本贷款</x:v>
      </x:c>
    </x:row>
    <x:row r="14">
      <x:c r="A14" s="20" t="str">
        <x:v>S11</x:v>
      </x:c>
      <x:c r="B14" s="20" t="str">
        <x:v>Stage贷款余额</x:v>
      </x:c>
      <x:c r="C14" s="20" t="str">
        <x:v>05_Stage与拨备</x:v>
      </x:c>
      <x:c r="D14" s="20" t="str">
        <x:v>同上</x:v>
      </x:c>
      <x:c r="E14" s="20" t="str">
        <x:v>p263</x:v>
      </x:c>
      <x:c r="F14" s="20" t="str">
        <x:v>同S01</x:v>
      </x:c>
      <x:c r="G14" s="20" t="str">
        <x:v>摊余成本贷款</x:v>
      </x:c>
    </x:row>
    <x:row r="15">
      <x:c r="A15" s="20" t="str">
        <x:v>S12</x:v>
      </x:c>
      <x:c r="B15" s="20" t="str">
        <x:v>官方年报索引</x:v>
      </x:c>
      <x:c r="C15" s="20" t="str">
        <x:v>参考核验</x:v>
      </x:c>
      <x:c r="D15" s="20" t="str">
        <x:v>招商银行投资者关系</x:v>
      </x:c>
      <x:c r="E15" s="20" t="str">
        <x:v>—</x:v>
      </x:c>
      <x:c r="F15" s="20" t="str">
        <x:v>https://english.cmbchina.com/CmbIR/intro?type=report</x:v>
      </x:c>
      <x:c r="G15" s="20" t="str">
        <x:v>官方IR</x:v>
      </x:c>
    </x:row>
    <x:row r="16">
      <x:c r="A16" s="22" t="str">
        <x:v>S13</x:v>
      </x:c>
      <x:c r="B16" s="22" t="str">
        <x:v>组合筛选输入</x:v>
      </x:c>
      <x:c r="C16" s="22" t="str">
        <x:v>08_组合筛选</x:v>
      </x:c>
      <x:c r="D16" s="22" t="str">
        <x:v>本任务案例给定</x:v>
      </x:c>
      <x:c r="E16" s="22" t="str">
        <x:v>—</x:v>
      </x:c>
      <x:c r="F16" s="22" t="str">
        <x:v>—</x:v>
      </x:c>
      <x:c r="G16" s="22" t="str">
        <x:v>除贷款余额外均为案例假设</x:v>
      </x:c>
    </x:row>
    <x:row r="17">
      <x:c r="A17" s="31"/>
      <x:c r="B17" s="31"/>
      <x:c r="C17" s="31"/>
      <x:c r="D17" s="31"/>
      <x:c r="E17" s="31"/>
      <x:c r="F17" s="31"/>
      <x:c r="G17" s="31"/>
    </x:row>
    <x:row r="18" ht="24" customHeight="1">
      <x:c r="A18" s="27" t="str">
        <x:v>来源使用声明</x:v>
      </x:c>
      <x:c r="B18" s="27" t="str">
        <x:v>来源使用声明</x:v>
      </x:c>
      <x:c r="C18" s="27" t="str">
        <x:v>来源使用声明</x:v>
      </x:c>
      <x:c r="D18" s="27" t="str">
        <x:v>来源使用声明</x:v>
      </x:c>
      <x:c r="E18" s="27" t="str">
        <x:v>来源使用声明</x:v>
      </x:c>
      <x:c r="F18" s="27" t="str">
        <x:v>来源使用声明</x:v>
      </x:c>
      <x:c r="G18" s="27" t="str">
        <x:v>来源使用声明</x:v>
      </x:c>
    </x:row>
    <x:row r="19">
      <x:c r="A19" s="87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B19" s="88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C19" s="88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D19" s="88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E19" s="88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F19" s="88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G19" s="89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</x:row>
    <x:row r="20">
      <x:c r="A20" s="90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B20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C20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D20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E20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F20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G20" s="92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</x:row>
    <x:row r="21">
      <x:c r="A21" s="90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B21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C21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D21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E21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F21" s="91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G21" s="92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</x:row>
    <x:row r="22">
      <x:c r="A22" s="93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B22" s="94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C22" s="94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D22" s="94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E22" s="94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F22" s="94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  <x:c r="G22" s="95" t="str">
        <x:v>本附件基于公开一手年报数据重新结构化，不包含客户级数据、个人信息或非公开金融机构数据。07与08工作表中的压力参数、组合参数、管理底线和候选方案均为本任务案例假设，不属于招商银行披露事实。模型作答时不得调用外部数据补充或替换附件口径。</x:v>
      </x:c>
    </x:row>
  </x:sheetData>
  <x:mergeCells>
    <x:mergeCell ref="A1:G1"/>
    <x:mergeCell ref="A18:G18"/>
    <x:mergeCell ref="A19:G22"/>
  </x:mergeCells>
  <x:pageMargins left="0.7" right="0.7" top="0.75" bottom="0.75" header="0.3" footer="0.3"/>
</x:worksheet>
</file>